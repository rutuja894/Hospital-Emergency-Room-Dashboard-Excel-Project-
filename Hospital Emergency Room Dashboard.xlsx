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Rutuja\Desktop\Excel Project\"/>
    </mc:Choice>
  </mc:AlternateContent>
  <xr:revisionPtr revIDLastSave="0" documentId="13_ncr:1_{7FC49849-DBD8-4A04-822A-7A9E5D47EFD2}" xr6:coauthVersionLast="47" xr6:coauthVersionMax="47" xr10:uidLastSave="{00000000-0000-0000-0000-000000000000}"/>
  <bookViews>
    <workbookView xWindow="-110" yWindow="-110" windowWidth="19420" windowHeight="10420" tabRatio="621" xr2:uid="{BAB4175E-0EE6-4270-9FB3-00B4DCB2D2A3}"/>
  </bookViews>
  <sheets>
    <sheet name="Dashboard" sheetId="2" r:id="rId1"/>
    <sheet name="Pivot Report 1" sheetId="1" r:id="rId2"/>
    <sheet name="Pivot Report 2" sheetId="4" r:id="rId3"/>
    <sheet name="Pivot Report 3" sheetId="9" r:id="rId4"/>
    <sheet name="Pivot Report 4" sheetId="10" r:id="rId5"/>
    <sheet name="Pivot Report 5" sheetId="11" r:id="rId6"/>
    <sheet name="Pivot Report 6" sheetId="12" r:id="rId7"/>
    <sheet name="Daily ER No. of patient" sheetId="6" r:id="rId8"/>
    <sheet name="Avg. wait time daily trend" sheetId="7" r:id="rId9"/>
    <sheet name="Satisfaction Score Daily Trend" sheetId="8" r:id="rId10"/>
  </sheets>
  <definedNames>
    <definedName name="Slicer_Date__Month">#N/A</definedName>
    <definedName name="Slicer_Date__Year">#N/A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 cacheId="10" r:id="rId21"/>
    <pivotCache cacheId="11" r:id="rId22"/>
  </pivotCaches>
  <extLst>
    <ext xmlns:x14="http://schemas.microsoft.com/office/spreadsheetml/2009/9/main" uri="{876F7934-8845-4945-9796-88D515C7AA90}">
      <x14:pivotCaches>
        <pivotCache cacheId="12" r:id="rId23"/>
      </x14:pivotCaches>
    </ext>
    <ext xmlns:x14="http://schemas.microsoft.com/office/spreadsheetml/2009/9/main" uri="{BBE1A952-AA13-448e-AADC-164F8A28A991}">
      <x14:slicerCaches>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300ef87-0a22-4734-9809-fe436b0c339d" name="Hospital Emergency Room Data" connection="Query - Hospital Emergency Room Data"/>
          <x15:modelTable id="Calender_Table_799b5db1-6873-4156-9a93-aa1007429a3c" name="Calender_Table" connection="Query - Calender_Table"/>
        </x15:modelTables>
        <x15:modelRelationships>
          <x15:modelRelationship fromTable="Hospital Emergency Room Data" fromColumn="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1" l="1"/>
  <c r="G15" i="1"/>
  <c r="F14" i="1"/>
  <c r="G14" i="1"/>
  <c r="E14" i="1"/>
  <c r="E1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F9162A-F173-41C7-A6A4-CAC0C8ADCCDA}" name="Query - Calender_Table" description="Connection to the 'Calender_Table' query in the workbook." type="100" refreshedVersion="8" minRefreshableVersion="5">
    <extLst>
      <ext xmlns:x15="http://schemas.microsoft.com/office/spreadsheetml/2010/11/main" uri="{DE250136-89BD-433C-8126-D09CA5730AF9}">
        <x15:connection id="34c63070-c255-4b2b-99c5-897a22c221b1"/>
      </ext>
    </extLst>
  </connection>
  <connection id="2" xr16:uid="{FB459ED6-732B-427E-89CC-CC820D4EADF6}"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82c70fc5-3c8e-4a1b-a502-c3c34b36bb0d"/>
      </ext>
    </extLst>
  </connection>
  <connection id="3" xr16:uid="{5F28C291-D653-4B88-A444-40E76B123E7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<sst xmlns="http://schemas.openxmlformats.org/spreadsheetml/2006/main" count="151" uniqueCount="73">
  <si>
    <t>Count of Patient Id</t>
  </si>
  <si>
    <t>Distinct Count of Patient Id</t>
  </si>
  <si>
    <t>Average of Patient Waittime</t>
  </si>
  <si>
    <t>Average of Patient Satisfaction Score</t>
  </si>
  <si>
    <t>Row Labels</t>
  </si>
  <si>
    <t>Grand Total</t>
  </si>
  <si>
    <t>Daily Trands of No. of Patient</t>
  </si>
  <si>
    <t>Avg. wait time</t>
  </si>
  <si>
    <t xml:space="preserve"> </t>
  </si>
  <si>
    <t>Satiscation Daily Score Trend</t>
  </si>
  <si>
    <t>Admitted</t>
  </si>
  <si>
    <t>Not Admitted</t>
  </si>
  <si>
    <t>Count of Patient Admission Flag</t>
  </si>
  <si>
    <t>Count of Patient Admission Flag2</t>
  </si>
  <si>
    <t>Admission Status</t>
  </si>
  <si>
    <t>No. Of Patient</t>
  </si>
  <si>
    <t>%  Status</t>
  </si>
  <si>
    <t>0-9</t>
  </si>
  <si>
    <t>10-19</t>
  </si>
  <si>
    <t>20-29</t>
  </si>
  <si>
    <t>30-39</t>
  </si>
  <si>
    <t>40-49</t>
  </si>
  <si>
    <t>50-59</t>
  </si>
  <si>
    <t>60-69</t>
  </si>
  <si>
    <t>70-79</t>
  </si>
  <si>
    <t>Count of Age-Group</t>
  </si>
  <si>
    <t>On-Time</t>
  </si>
  <si>
    <t>Delay</t>
  </si>
  <si>
    <t>Count of Patient attend Status</t>
  </si>
  <si>
    <t>Female</t>
  </si>
  <si>
    <t>Male</t>
  </si>
  <si>
    <t>Count of Patient Gender</t>
  </si>
  <si>
    <t>Cardiology</t>
  </si>
  <si>
    <t>Gastroenterology</t>
  </si>
  <si>
    <t>General Practice</t>
  </si>
  <si>
    <t>Neurology</t>
  </si>
  <si>
    <t>None</t>
  </si>
  <si>
    <t>Orthopedics</t>
  </si>
  <si>
    <t>Physiotherapy</t>
  </si>
  <si>
    <t>Renal</t>
  </si>
  <si>
    <t>Count of Department Referral</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</si>
  <si>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</si>
  <si>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</si>
  <si>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</si>
  <si>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</si>
  <si>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</si>
  <si>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</si>
  <si>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</si>
  <si>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</si>
  <si>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</si>
  <si>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</si>
  <si>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</si>
  <si>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</si>
  <si>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</si>
  <si>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</si>
  <si>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</si>
  <si>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</si>
  <si>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</si>
  <si>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</si>
  <si>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</si>
  <si>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</si>
  <si>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</si>
  <si>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</si>
  <si>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</si>
  <si>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</si>
  <si>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</si>
  <si>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</si>
  <si>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</si>
  <si>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</si>
  <si>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</si>
  <si>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</si>
  <si>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2023</t>
  </si>
  <si>
    <t>Admitted Not Admitted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</si>
</sst>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sz val="10"/>
      <color theme="1"/>
      <name val="Aptos Narrow"/>
      <family val="2"/>
      <scheme val="minor"/>
    </font>
    <font>
      <sz val="10"/>
      <color theme="0"/>
      <name val="Aptos Narrow"/>
      <family val="2"/>
      <scheme val="minor"/>
    </font>
  </fonts>
  <fills count="6">
    <fill>
      <patternFill patternType="none"/>
    </fill>
    <fill>
      <patternFill patternType="gray125"/>
    </fill>
    <fill>
      <patternFill patternType="solid">
        <fgColor theme="8" tint="-0.49998474074526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8"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pivotButton="1"/>
    <xf numFmtId="2" fontId="0" fillId="0" borderId="0" xfId="0" applyNumberFormat="1"/>
    <xf numFmtId="0" fontId="0" fillId="2" borderId="0" xfId="0" applyFill="1"/>
    <xf numFmtId="0" fontId="2" fillId="2" borderId="0" xfId="0" applyFont="1" applyFill="1"/>
    <xf numFmtId="0" fontId="0" fillId="0" borderId="0" xfId="0" applyAlignment="1">
      <alignment horizontal="left"/>
    </xf>
    <xf numFmtId="0" fontId="0" fillId="3" borderId="0" xfId="0" applyFill="1"/>
    <xf numFmtId="1" fontId="0" fillId="0" borderId="0" xfId="0" applyNumberFormat="1"/>
    <xf numFmtId="10" fontId="0" fillId="0" borderId="0" xfId="0" applyNumberFormat="1"/>
    <xf numFmtId="0" fontId="0" fillId="4" borderId="0" xfId="0" applyFill="1"/>
    <xf numFmtId="0" fontId="3" fillId="5" borderId="0" xfId="0" applyFont="1" applyFill="1"/>
    <xf numFmtId="0" fontId="4" fillId="4" borderId="0" xfId="0" applyFont="1" applyFill="1" applyAlignment="1">
      <alignment horizontal="center"/>
    </xf>
    <xf numFmtId="9" fontId="4" fillId="4" borderId="0" xfId="1" applyFont="1" applyFill="1" applyAlignment="1">
      <alignment horizontal="center"/>
    </xf>
    <xf numFmtId="0" fontId="5" fillId="5" borderId="0" xfId="0" applyFont="1" applyFill="1"/>
  </cellXfs>
  <cellStyles count="2">
    <cellStyle name="Normal" xfId="0" builtinId="0"/>
    <cellStyle name="Percent" xfId="1" builtinId="5"/>
  </cellStyles>
  <dxfs count="24">
    <dxf>
      <numFmt numFmtId="2" formatCode="0.00"/>
    </dxf>
    <dxf>
      <numFmt numFmtId="2" formatCode="0.00"/>
    </dxf>
    <dxf>
      <numFmt numFmtId="14" formatCode="0.00%"/>
    </dxf>
    <dxf>
      <numFmt numFmtId="1" formatCode="0"/>
    </dxf>
    <dxf>
      <numFmt numFmtId="1" formatCode="0"/>
    </dxf>
    <dxf>
      <numFmt numFmtId="2" formatCode="0.00"/>
    </dxf>
    <dxf>
      <numFmt numFmtId="2" formatCode="0.00"/>
    </dxf>
    <dxf>
      <numFmt numFmtId="2" formatCode="0.00"/>
    </dxf>
    <dxf>
      <font>
        <b/>
        <color theme="1"/>
      </font>
      <border>
        <bottom style="thin">
          <color theme="8"/>
        </bottom>
        <vertical/>
        <horizontal/>
      </border>
    </dxf>
    <dxf>
      <font>
        <sz val="8"/>
        <color theme="1"/>
        <name val="Cambria"/>
        <family val="1"/>
        <scheme val="none"/>
      </font>
      <fill>
        <patternFill>
          <bgColor theme="0"/>
        </patternFill>
      </fill>
      <border diagonalUp="0" diagonalDown="0">
        <left/>
        <right/>
        <top/>
        <bottom/>
        <vertical/>
        <horizontal/>
      </border>
    </dxf>
    <dxf>
      <font>
        <b val="0"/>
        <i val="0"/>
        <sz val="8"/>
      </font>
      <fill>
        <patternFill>
          <bgColor theme="0"/>
        </patternFill>
      </fill>
      <border diagonalUp="0" diagonalDown="0">
        <left/>
        <right/>
        <top/>
        <bottom/>
        <vertical/>
        <horizontal/>
      </border>
    </dxf>
    <dxf>
      <font>
        <b/>
        <color theme="1"/>
      </font>
      <border>
        <bottom style="thin">
          <color theme="8"/>
        </bottom>
        <vertical/>
        <horizontal/>
      </border>
    </dxf>
    <dxf>
      <font>
        <sz val="7"/>
        <color theme="1"/>
        <name val="Cambria"/>
        <family val="1"/>
        <scheme val="none"/>
      </font>
      <fill>
        <patternFill>
          <bgColor theme="0"/>
        </patternFill>
      </fill>
      <border diagonalUp="0" diagonalDown="0">
        <left/>
        <right/>
        <top/>
        <bottom/>
        <vertical/>
        <horizontal/>
      </border>
    </dxf>
    <dxf>
      <font>
        <sz val="7"/>
        <name val="Cambria"/>
        <family val="1"/>
        <scheme val="none"/>
      </font>
      <fill>
        <patternFill>
          <bgColor theme="0"/>
        </patternFill>
      </fill>
      <border diagonalUp="0" diagonalDown="0">
        <left/>
        <right/>
        <top/>
        <bottom/>
        <vertical/>
        <horizontal/>
      </border>
    </dxf>
    <dxf>
      <font>
        <sz val="8"/>
      </font>
    </dxf>
    <dxf>
      <font>
        <name val="Cambria"/>
        <family val="1"/>
      </font>
    </dxf>
    <dxf>
      <font>
        <sz val="7"/>
      </font>
    </dxf>
    <dxf>
      <font>
        <sz val="8"/>
      </font>
    </dxf>
    <dxf>
      <font>
        <sz val="7"/>
        <name val="Cambria"/>
        <family val="1"/>
        <scheme val="none"/>
      </font>
      <fill>
        <patternFill>
          <bgColor theme="0"/>
        </patternFill>
      </fill>
    </dxf>
    <dxf>
      <font>
        <sz val="7"/>
      </font>
      <fill>
        <patternFill>
          <bgColor theme="0"/>
        </patternFill>
      </fill>
    </dxf>
    <dxf>
      <font>
        <sz val="7"/>
      </font>
      <fill>
        <patternFill>
          <bgColor theme="0"/>
        </patternFill>
      </fill>
    </dxf>
    <dxf>
      <font>
        <b/>
        <color theme="1"/>
      </font>
      <border>
        <bottom style="thin">
          <color theme="8"/>
        </bottom>
        <vertical/>
        <horizontal/>
      </border>
    </dxf>
    <dxf>
      <font>
        <sz val="8"/>
        <color theme="1"/>
        <name val="Cambria"/>
        <family val="1"/>
      </font>
      <fill>
        <patternFill>
          <bgColor theme="0"/>
        </patternFill>
      </fill>
      <border diagonalUp="0" diagonalDown="0">
        <left/>
        <right/>
        <top/>
        <bottom/>
        <vertical/>
        <horizontal/>
      </border>
    </dxf>
    <dxf>
      <font>
        <sz val="7"/>
      </font>
    </dxf>
  </dxfs>
  <tableStyles count="13" defaultTableStyle="TableStyleMedium2" defaultPivotStyle="PivotStyleLight16">
    <tableStyle name="Month Slicer" pivot="0" table="0" count="1" xr9:uid="{B66F090B-170D-42DC-BA81-E48F1BE3E2AA}">
      <tableStyleElement type="wholeTable" dxfId="23"/>
    </tableStyle>
    <tableStyle name="My sliecer" pivot="0" table="0" count="10" xr9:uid="{75461B3D-855E-4E30-8198-CD76A7021AB5}">
      <tableStyleElement type="wholeTable" dxfId="22"/>
      <tableStyleElement type="headerRow" dxfId="21"/>
    </tableStyle>
    <tableStyle name="My style " pivot="0" table="0" count="1" xr9:uid="{E54D90C1-0892-4396-9EA2-913AA40FC757}">
      <tableStyleElement type="wholeTable" dxfId="20"/>
    </tableStyle>
    <tableStyle name="My STyles" pivot="0" table="0" count="1" xr9:uid="{431294F3-5B4C-4CF1-A47B-A8997427463A}">
      <tableStyleElement type="wholeTable" dxfId="19"/>
    </tableStyle>
    <tableStyle name="My styles 1" pivot="0" table="0" count="1" xr9:uid="{385C2086-683A-43AC-AA53-48693D79A1B9}">
      <tableStyleElement type="wholeTable" dxfId="18"/>
    </tableStyle>
    <tableStyle name="Slicer Style 1" pivot="0" table="0" count="1" xr9:uid="{F44452F9-6786-46D9-BA89-249081FB71AF}">
      <tableStyleElement type="wholeTable" dxfId="17"/>
    </tableStyle>
    <tableStyle name="Slicer Style 2" pivot="0" table="0" count="1" xr9:uid="{CA8F1A23-1779-4399-8982-15F0CFF3E2F6}">
      <tableStyleElement type="wholeTable" dxfId="16"/>
    </tableStyle>
    <tableStyle name="Slicer Style 3" pivot="0" table="0" count="1" xr9:uid="{654A9BB7-AE6E-4E85-98A5-5827B78403DF}">
      <tableStyleElement type="wholeTable" dxfId="15"/>
    </tableStyle>
    <tableStyle name="Slicer Style 4" pivot="0" table="0" count="1" xr9:uid="{92B52A5E-BA81-44FE-AF31-B3DE35C238CD}">
      <tableStyleElement type="wholeTable" dxfId="14"/>
    </tableStyle>
    <tableStyle name="Slicers" pivot="0" table="0" count="1" xr9:uid="{D4DEE4DB-8C0B-4D2C-9B4E-375A7E7F29D7}">
      <tableStyleElement type="wholeTable" dxfId="13"/>
    </tableStyle>
    <tableStyle name="Slicers My" pivot="0" table="0" count="10" xr9:uid="{52CE06B5-7BA5-43CE-B850-0007458D9AC3}">
      <tableStyleElement type="wholeTable" dxfId="12"/>
      <tableStyleElement type="headerRow" dxfId="11"/>
    </tableStyle>
    <tableStyle name="Year Slicer" pivot="0" table="0" count="1" xr9:uid="{BADF0ED9-717C-4C6E-8427-786071BEE968}">
      <tableStyleElement type="wholeTable" dxfId="10"/>
    </tableStyle>
    <tableStyle name="Years Slicers" pivot="0" table="0" count="10" xr9:uid="{B6662832-7851-4A10-8B3E-3553931D09A9}">
      <tableStyleElement type="wholeTable" dxfId="9"/>
      <tableStyleElement type="headerRow" dxfId="8"/>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onth Slicer"/>
        <x14:slicerStyle name="My sliecer">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My style "/>
        <x14:slicerStyle name="My STyles"/>
        <x14:slicerStyle name="My styles 1"/>
        <x14:slicerStyle name="Slicer Style 1"/>
        <x14:slicerStyle name="Slicer Style 2"/>
        <x14:slicerStyle name="Slicer Style 3"/>
        <x14:slicerStyle name="Slicer Style 4"/>
        <x14:slicerStyle name="Slicers"/>
        <x14:slicerStyle name="Slicers My">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Year Slicer"/>
        <x14:slicerStyle name="Years Slicer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theme" Target="theme/theme1.xml"/><Relationship Id="rId39" Type="http://schemas.openxmlformats.org/officeDocument/2006/relationships/customXml" Target="../customXml/item8.xml"/><Relationship Id="rId21" Type="http://schemas.openxmlformats.org/officeDocument/2006/relationships/pivotCacheDefinition" Target="pivotCache/pivotCacheDefinition11.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sharedStrings" Target="sharedStrings.xml"/><Relationship Id="rId11" Type="http://schemas.openxmlformats.org/officeDocument/2006/relationships/pivotCacheDefinition" Target="pivotCache/pivotCacheDefinition1.xml"/><Relationship Id="rId24" Type="http://schemas.microsoft.com/office/2007/relationships/slicerCache" Target="slicerCaches/slicerCache1.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microsoft.com/office/2007/relationships/slicerCache" Target="slicerCaches/slicerCache2.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10.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 2!PivotTable5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627812027926346E-2"/>
          <c:w val="1"/>
          <c:h val="0.91007226554525777"/>
        </c:manualLayout>
      </c:layout>
      <c:areaChart>
        <c:grouping val="standard"/>
        <c:varyColors val="0"/>
        <c:ser>
          <c:idx val="0"/>
          <c:order val="0"/>
          <c:tx>
            <c:strRef>
              <c:f>'Pivot Report 2'!$C$3</c:f>
              <c:strCache>
                <c:ptCount val="1"/>
                <c:pt idx="0">
                  <c:v>Total</c:v>
                </c:pt>
              </c:strCache>
            </c:strRef>
          </c:tx>
          <c:spPr>
            <a:solidFill>
              <a:schemeClr val="accent1"/>
            </a:solidFill>
            <a:ln w="25400">
              <a:noFill/>
            </a:ln>
            <a:effectLst/>
          </c:spPr>
          <c:cat>
            <c:strRef>
              <c:f>'Pivot Report 2'!$B$4:$B$34</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 2'!$C$4:$C$34</c:f>
              <c:numCache>
                <c:formatCode>General</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4-B365-4DAA-95EE-20ED45880B66}"/>
            </c:ext>
          </c:extLst>
        </c:ser>
        <c:dLbls>
          <c:showLegendKey val="0"/>
          <c:showVal val="0"/>
          <c:showCatName val="0"/>
          <c:showSerName val="0"/>
          <c:showPercent val="0"/>
          <c:showBubbleSize val="0"/>
        </c:dLbls>
        <c:axId val="894854592"/>
        <c:axId val="894811872"/>
      </c:areaChart>
      <c:catAx>
        <c:axId val="894854592"/>
        <c:scaling>
          <c:orientation val="minMax"/>
        </c:scaling>
        <c:delete val="1"/>
        <c:axPos val="b"/>
        <c:numFmt formatCode="General" sourceLinked="1"/>
        <c:majorTickMark val="out"/>
        <c:minorTickMark val="none"/>
        <c:tickLblPos val="nextTo"/>
        <c:crossAx val="894811872"/>
        <c:crosses val="autoZero"/>
        <c:auto val="1"/>
        <c:lblAlgn val="ctr"/>
        <c:lblOffset val="100"/>
        <c:noMultiLvlLbl val="0"/>
      </c:catAx>
      <c:valAx>
        <c:axId val="894811872"/>
        <c:scaling>
          <c:orientation val="minMax"/>
        </c:scaling>
        <c:delete val="1"/>
        <c:axPos val="l"/>
        <c:numFmt formatCode="General" sourceLinked="1"/>
        <c:majorTickMark val="none"/>
        <c:minorTickMark val="none"/>
        <c:tickLblPos val="nextTo"/>
        <c:crossAx val="894854592"/>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 2!PivotTable6</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1085024629928321E-3"/>
          <c:w val="0.99517483200182233"/>
          <c:h val="0.94187210267061972"/>
        </c:manualLayout>
      </c:layout>
      <c:areaChart>
        <c:grouping val="standard"/>
        <c:varyColors val="0"/>
        <c:ser>
          <c:idx val="0"/>
          <c:order val="0"/>
          <c:tx>
            <c:strRef>
              <c:f>'Pivot Report 2'!$G$3</c:f>
              <c:strCache>
                <c:ptCount val="1"/>
                <c:pt idx="0">
                  <c:v>Total</c:v>
                </c:pt>
              </c:strCache>
            </c:strRef>
          </c:tx>
          <c:spPr>
            <a:solidFill>
              <a:schemeClr val="accent1"/>
            </a:solidFill>
            <a:ln w="25400">
              <a:noFill/>
            </a:ln>
            <a:effectLst/>
          </c:spPr>
          <c:cat>
            <c:strRef>
              <c:f>'Pivot Report 2'!$F$4:$F$34</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 2'!$G$4:$G$34</c:f>
              <c:numCache>
                <c:formatCode>0.00</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4-CC74-4061-8EA4-D3EA4E9C071B}"/>
            </c:ext>
          </c:extLst>
        </c:ser>
        <c:dLbls>
          <c:showLegendKey val="0"/>
          <c:showVal val="0"/>
          <c:showCatName val="0"/>
          <c:showSerName val="0"/>
          <c:showPercent val="0"/>
          <c:showBubbleSize val="0"/>
        </c:dLbls>
        <c:axId val="900718304"/>
        <c:axId val="900718784"/>
      </c:areaChart>
      <c:catAx>
        <c:axId val="900718304"/>
        <c:scaling>
          <c:orientation val="minMax"/>
        </c:scaling>
        <c:delete val="1"/>
        <c:axPos val="b"/>
        <c:numFmt formatCode="General" sourceLinked="1"/>
        <c:majorTickMark val="out"/>
        <c:minorTickMark val="none"/>
        <c:tickLblPos val="nextTo"/>
        <c:crossAx val="900718784"/>
        <c:crosses val="autoZero"/>
        <c:auto val="1"/>
        <c:lblAlgn val="ctr"/>
        <c:lblOffset val="100"/>
        <c:noMultiLvlLbl val="0"/>
      </c:catAx>
      <c:valAx>
        <c:axId val="900718784"/>
        <c:scaling>
          <c:orientation val="minMax"/>
        </c:scaling>
        <c:delete val="1"/>
        <c:axPos val="l"/>
        <c:numFmt formatCode="0.00" sourceLinked="1"/>
        <c:majorTickMark val="none"/>
        <c:minorTickMark val="none"/>
        <c:tickLblPos val="nextTo"/>
        <c:crossAx val="900718304"/>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 2!PivotTable7</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645473138832395E-3"/>
          <c:y val="0"/>
          <c:w val="0.97876917209900971"/>
          <c:h val="1"/>
        </c:manualLayout>
      </c:layout>
      <c:areaChart>
        <c:grouping val="standard"/>
        <c:varyColors val="0"/>
        <c:ser>
          <c:idx val="0"/>
          <c:order val="0"/>
          <c:tx>
            <c:strRef>
              <c:f>'Pivot Report 2'!$K$3</c:f>
              <c:strCache>
                <c:ptCount val="1"/>
                <c:pt idx="0">
                  <c:v>Total</c:v>
                </c:pt>
              </c:strCache>
            </c:strRef>
          </c:tx>
          <c:spPr>
            <a:solidFill>
              <a:schemeClr val="accent1"/>
            </a:solidFill>
            <a:ln w="25400">
              <a:noFill/>
            </a:ln>
            <a:effectLst/>
          </c:spPr>
          <c:cat>
            <c:strRef>
              <c:f>'Pivot Report 2'!$J$4:$J$34</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 2'!$K$4:$K$34</c:f>
              <c:numCache>
                <c:formatCode>0.00</c:formatCode>
                <c:ptCount val="30"/>
                <c:pt idx="0">
                  <c:v>4.8</c:v>
                </c:pt>
                <c:pt idx="1">
                  <c:v>5.333333333333333</c:v>
                </c:pt>
                <c:pt idx="2">
                  <c:v>6.666666666666667</c:v>
                </c:pt>
                <c:pt idx="3">
                  <c:v>4.5555555555555554</c:v>
                </c:pt>
                <c:pt idx="4">
                  <c:v>4.333333333333333</c:v>
                </c:pt>
                <c:pt idx="5">
                  <c:v>7.333333333333333</c:v>
                </c:pt>
                <c:pt idx="6">
                  <c:v>5.25</c:v>
                </c:pt>
                <c:pt idx="7">
                  <c:v>6.333333333333333</c:v>
                </c:pt>
                <c:pt idx="8">
                  <c:v>5.7142857142857144</c:v>
                </c:pt>
                <c:pt idx="9">
                  <c:v>5</c:v>
                </c:pt>
                <c:pt idx="10">
                  <c:v>6.166666666666667</c:v>
                </c:pt>
                <c:pt idx="11">
                  <c:v>3</c:v>
                </c:pt>
                <c:pt idx="12">
                  <c:v>4.5</c:v>
                </c:pt>
                <c:pt idx="13">
                  <c:v>4.666666666666667</c:v>
                </c:pt>
                <c:pt idx="14">
                  <c:v>9</c:v>
                </c:pt>
                <c:pt idx="15">
                  <c:v>1.5</c:v>
                </c:pt>
                <c:pt idx="16">
                  <c:v>6.8</c:v>
                </c:pt>
                <c:pt idx="17">
                  <c:v>4.625</c:v>
                </c:pt>
                <c:pt idx="18">
                  <c:v>4.333333333333333</c:v>
                </c:pt>
                <c:pt idx="19">
                  <c:v>1.3333333333333333</c:v>
                </c:pt>
                <c:pt idx="20">
                  <c:v>5</c:v>
                </c:pt>
                <c:pt idx="21">
                  <c:v>3.1666666666666665</c:v>
                </c:pt>
                <c:pt idx="22">
                  <c:v>7.5</c:v>
                </c:pt>
                <c:pt idx="23">
                  <c:v>4.2</c:v>
                </c:pt>
                <c:pt idx="24">
                  <c:v>4.625</c:v>
                </c:pt>
                <c:pt idx="25">
                  <c:v>9.6666666666666661</c:v>
                </c:pt>
                <c:pt idx="26">
                  <c:v>6.125</c:v>
                </c:pt>
                <c:pt idx="27">
                  <c:v>5.5555555555555554</c:v>
                </c:pt>
                <c:pt idx="28">
                  <c:v>6.333333333333333</c:v>
                </c:pt>
                <c:pt idx="29">
                  <c:v>5.333333333333333</c:v>
                </c:pt>
              </c:numCache>
            </c:numRef>
          </c:val>
          <c:extLst>
            <c:ext xmlns:c16="http://schemas.microsoft.com/office/drawing/2014/chart" uri="{C3380CC4-5D6E-409C-BE32-E72D297353CC}">
              <c16:uniqueId val="{00000004-E093-4ADC-854B-27EF47949902}"/>
            </c:ext>
          </c:extLst>
        </c:ser>
        <c:dLbls>
          <c:showLegendKey val="0"/>
          <c:showVal val="0"/>
          <c:showCatName val="0"/>
          <c:showSerName val="0"/>
          <c:showPercent val="0"/>
          <c:showBubbleSize val="0"/>
        </c:dLbls>
        <c:axId val="238248992"/>
        <c:axId val="238249952"/>
      </c:areaChart>
      <c:catAx>
        <c:axId val="238248992"/>
        <c:scaling>
          <c:orientation val="minMax"/>
        </c:scaling>
        <c:delete val="1"/>
        <c:axPos val="b"/>
        <c:numFmt formatCode="General" sourceLinked="1"/>
        <c:majorTickMark val="out"/>
        <c:minorTickMark val="none"/>
        <c:tickLblPos val="nextTo"/>
        <c:crossAx val="238249952"/>
        <c:crosses val="autoZero"/>
        <c:auto val="1"/>
        <c:lblAlgn val="ctr"/>
        <c:lblOffset val="100"/>
        <c:noMultiLvlLbl val="0"/>
      </c:catAx>
      <c:valAx>
        <c:axId val="238249952"/>
        <c:scaling>
          <c:orientation val="minMax"/>
        </c:scaling>
        <c:delete val="1"/>
        <c:axPos val="l"/>
        <c:numFmt formatCode="0.00" sourceLinked="1"/>
        <c:majorTickMark val="none"/>
        <c:minorTickMark val="none"/>
        <c:tickLblPos val="nextTo"/>
        <c:crossAx val="2382489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 3!PivotTable9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39772047495609E-2"/>
          <c:y val="6.1493044655625634E-2"/>
          <c:w val="0.91111108283180875"/>
          <c:h val="0.51705369051858907"/>
        </c:manualLayout>
      </c:layout>
      <c:barChart>
        <c:barDir val="col"/>
        <c:grouping val="clustered"/>
        <c:varyColors val="0"/>
        <c:ser>
          <c:idx val="0"/>
          <c:order val="0"/>
          <c:tx>
            <c:strRef>
              <c:f>'Pivot Report 3'!$C$3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 3'!$B$4:$B$12</c:f>
              <c:strCache>
                <c:ptCount val="8"/>
                <c:pt idx="0">
                  <c:v>0-9</c:v>
                </c:pt>
                <c:pt idx="1">
                  <c:v>10-19</c:v>
                </c:pt>
                <c:pt idx="2">
                  <c:v>20-29</c:v>
                </c:pt>
                <c:pt idx="3">
                  <c:v>30-39</c:v>
                </c:pt>
                <c:pt idx="4">
                  <c:v>40-49</c:v>
                </c:pt>
                <c:pt idx="5">
                  <c:v>50-59</c:v>
                </c:pt>
                <c:pt idx="6">
                  <c:v>60-69</c:v>
                </c:pt>
                <c:pt idx="7">
                  <c:v>70-79</c:v>
                </c:pt>
              </c:strCache>
            </c:strRef>
          </c:cat>
          <c:val>
            <c:numRef>
              <c:f>'Pivot Report 3'!$C$4:$C$12</c:f>
              <c:numCache>
                <c:formatCode>General</c:formatCode>
                <c:ptCount val="8"/>
                <c:pt idx="0">
                  <c:v>54</c:v>
                </c:pt>
                <c:pt idx="1">
                  <c:v>72</c:v>
                </c:pt>
                <c:pt idx="2">
                  <c:v>75</c:v>
                </c:pt>
                <c:pt idx="3">
                  <c:v>62</c:v>
                </c:pt>
                <c:pt idx="4">
                  <c:v>63</c:v>
                </c:pt>
                <c:pt idx="5">
                  <c:v>49</c:v>
                </c:pt>
                <c:pt idx="6">
                  <c:v>74</c:v>
                </c:pt>
                <c:pt idx="7">
                  <c:v>57</c:v>
                </c:pt>
              </c:numCache>
            </c:numRef>
          </c:val>
          <c:extLst>
            <c:ext xmlns:c16="http://schemas.microsoft.com/office/drawing/2014/chart" uri="{C3380CC4-5D6E-409C-BE32-E72D297353CC}">
              <c16:uniqueId val="{00000004-D8AA-41BC-B455-2FDDAF0A1F8C}"/>
            </c:ext>
          </c:extLst>
        </c:ser>
        <c:dLbls>
          <c:showLegendKey val="0"/>
          <c:showVal val="0"/>
          <c:showCatName val="0"/>
          <c:showSerName val="0"/>
          <c:showPercent val="0"/>
          <c:showBubbleSize val="0"/>
        </c:dLbls>
        <c:gapWidth val="219"/>
        <c:overlap val="-27"/>
        <c:axId val="235586000"/>
        <c:axId val="235588880"/>
      </c:barChart>
      <c:catAx>
        <c:axId val="23558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ysClr val="windowText" lastClr="000000"/>
                </a:solidFill>
                <a:latin typeface="+mn-lt"/>
                <a:ea typeface="+mn-ea"/>
                <a:cs typeface="+mn-cs"/>
              </a:defRPr>
            </a:pPr>
            <a:endParaRPr lang="en-US"/>
          </a:p>
        </c:txPr>
        <c:crossAx val="235588880"/>
        <c:crosses val="autoZero"/>
        <c:auto val="1"/>
        <c:lblAlgn val="ctr"/>
        <c:lblOffset val="100"/>
        <c:noMultiLvlLbl val="0"/>
      </c:catAx>
      <c:valAx>
        <c:axId val="235588880"/>
        <c:scaling>
          <c:orientation val="minMax"/>
        </c:scaling>
        <c:delete val="1"/>
        <c:axPos val="l"/>
        <c:numFmt formatCode="General" sourceLinked="1"/>
        <c:majorTickMark val="none"/>
        <c:minorTickMark val="none"/>
        <c:tickLblPos val="nextTo"/>
        <c:crossAx val="23558600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 5!PivotTable11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r>
                  <a:rPr lang="en-US" sz="700" baseline="0"/>
                  <a:t> </a:t>
                </a:r>
                <a:fld id="{F6B52ECF-3BB5-4DA0-AEC9-1FC30AAF49C1}" type="PERCENTAGE">
                  <a:rPr lang="en-US" sz="700" baseline="0"/>
                  <a:pPr>
                    <a:defRPr sz="700"/>
                  </a:pPr>
                  <a:t>[PERCENTAGE]</a:t>
                </a:fld>
                <a:endParaRPr lang="en-US" sz="700" baseline="0"/>
              </a:p>
            </c:rich>
          </c:tx>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r>
                  <a:rPr lang="en-US" sz="700" baseline="0"/>
                  <a:t> </a:t>
                </a:r>
                <a:fld id="{52BFCAF2-4A3D-4746-8C79-53C8F454A0A3}" type="PERCENTAGE">
                  <a:rPr lang="en-US" sz="700" baseline="0"/>
                  <a:pPr>
                    <a:defRPr sz="700"/>
                  </a:pPr>
                  <a:t>[PERCENTAGE]</a:t>
                </a:fld>
                <a:endParaRPr lang="en-US" sz="700" baseline="0"/>
              </a:p>
            </c:rich>
          </c:tx>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0527242864408598"/>
          <c:y val="6.8302391243098712E-2"/>
          <c:w val="0.50357383241998177"/>
          <c:h val="0.740657641093448"/>
        </c:manualLayout>
      </c:layout>
      <c:doughnutChart>
        <c:varyColors val="1"/>
        <c:ser>
          <c:idx val="0"/>
          <c:order val="0"/>
          <c:tx>
            <c:strRef>
              <c:f>'Pivot Report 5'!$C$3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FD2-4D04-934A-E762C5A943B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FD2-4D04-934A-E762C5A943BC}"/>
              </c:ext>
            </c:extLst>
          </c:dPt>
          <c:dLbls>
            <c:dLbl>
              <c:idx val="0"/>
              <c:tx>
                <c:rich>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r>
                      <a:rPr lang="en-US" sz="700" baseline="0"/>
                      <a:t> </a:t>
                    </a:r>
                    <a:fld id="{F6B52ECF-3BB5-4DA0-AEC9-1FC30AAF49C1}" type="PERCENTAGE">
                      <a:rPr lang="en-US" sz="700" baseline="0"/>
                      <a:pPr>
                        <a:defRPr sz="700"/>
                      </a:pPr>
                      <a:t>[PERCENTAGE]</a:t>
                    </a:fld>
                    <a:endParaRPr lang="en-US" sz="700" baseline="0"/>
                  </a:p>
                </c:rich>
              </c:tx>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FD2-4D04-934A-E762C5A943BC}"/>
                </c:ext>
              </c:extLst>
            </c:dLbl>
            <c:dLbl>
              <c:idx val="1"/>
              <c:tx>
                <c:rich>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r>
                      <a:rPr lang="en-US" sz="700" baseline="0"/>
                      <a:t> </a:t>
                    </a:r>
                    <a:fld id="{52BFCAF2-4A3D-4746-8C79-53C8F454A0A3}" type="PERCENTAGE">
                      <a:rPr lang="en-US" sz="700" baseline="0"/>
                      <a:pPr>
                        <a:defRPr sz="700"/>
                      </a:pPr>
                      <a:t>[PERCENTAGE]</a:t>
                    </a:fld>
                    <a:endParaRPr lang="en-US" sz="700" baseline="0"/>
                  </a:p>
                </c:rich>
              </c:tx>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FD2-4D04-934A-E762C5A943B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 5'!$B$4:$B$6</c:f>
              <c:strCache>
                <c:ptCount val="2"/>
                <c:pt idx="0">
                  <c:v>Female</c:v>
                </c:pt>
                <c:pt idx="1">
                  <c:v>Male</c:v>
                </c:pt>
              </c:strCache>
            </c:strRef>
          </c:cat>
          <c:val>
            <c:numRef>
              <c:f>'Pivot Report 5'!$C$4:$C$6</c:f>
              <c:numCache>
                <c:formatCode>General</c:formatCode>
                <c:ptCount val="2"/>
                <c:pt idx="0">
                  <c:v>233</c:v>
                </c:pt>
                <c:pt idx="1">
                  <c:v>273</c:v>
                </c:pt>
              </c:numCache>
            </c:numRef>
          </c:val>
          <c:extLst>
            <c:ext xmlns:c16="http://schemas.microsoft.com/office/drawing/2014/chart" uri="{C3380CC4-5D6E-409C-BE32-E72D297353CC}">
              <c16:uniqueId val="{00000008-78BB-4E02-9B47-1DEA23DAD29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728342156317032"/>
          <c:y val="0.13300888313027365"/>
          <c:w val="0.28621091189963488"/>
          <c:h val="0.7033977699158565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 6!PivotTable12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8502205210337651E-2"/>
              <c:y val="0"/>
            </c:manualLayout>
          </c:layout>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272624926286193"/>
          <c:y val="7.5055490846757361E-2"/>
          <c:w val="0.59901156460668969"/>
          <c:h val="0.78375521523475267"/>
        </c:manualLayout>
      </c:layout>
      <c:barChart>
        <c:barDir val="bar"/>
        <c:grouping val="clustered"/>
        <c:varyColors val="0"/>
        <c:ser>
          <c:idx val="0"/>
          <c:order val="0"/>
          <c:tx>
            <c:strRef>
              <c:f>'Pivot Report 6'!$C$3</c:f>
              <c:strCache>
                <c:ptCount val="1"/>
                <c:pt idx="0">
                  <c:v>Total</c:v>
                </c:pt>
              </c:strCache>
            </c:strRef>
          </c:tx>
          <c:spPr>
            <a:solidFill>
              <a:schemeClr val="accent1"/>
            </a:solidFill>
            <a:ln>
              <a:noFill/>
            </a:ln>
            <a:effectLst/>
          </c:spPr>
          <c:invertIfNegative val="0"/>
          <c:dPt>
            <c:idx val="7"/>
            <c:invertIfNegative val="0"/>
            <c:bubble3D val="0"/>
            <c:extLst>
              <c:ext xmlns:c16="http://schemas.microsoft.com/office/drawing/2014/chart" uri="{C3380CC4-5D6E-409C-BE32-E72D297353CC}">
                <c16:uniqueId val="{00000000-377E-457A-A617-E9C317F2D32B}"/>
              </c:ext>
            </c:extLst>
          </c:dPt>
          <c:dLbls>
            <c:dLbl>
              <c:idx val="7"/>
              <c:layout>
                <c:manualLayout>
                  <c:x val="-1.850220521033765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77E-457A-A617-E9C317F2D32B}"/>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 6'!$B$4:$B$12</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 6'!$C$4:$C$12</c:f>
              <c:numCache>
                <c:formatCode>General</c:formatCode>
                <c:ptCount val="8"/>
                <c:pt idx="0">
                  <c:v>2</c:v>
                </c:pt>
                <c:pt idx="1">
                  <c:v>11</c:v>
                </c:pt>
                <c:pt idx="2">
                  <c:v>12</c:v>
                </c:pt>
                <c:pt idx="3">
                  <c:v>15</c:v>
                </c:pt>
                <c:pt idx="4">
                  <c:v>18</c:v>
                </c:pt>
                <c:pt idx="5">
                  <c:v>60</c:v>
                </c:pt>
                <c:pt idx="6">
                  <c:v>83</c:v>
                </c:pt>
                <c:pt idx="7">
                  <c:v>305</c:v>
                </c:pt>
              </c:numCache>
            </c:numRef>
          </c:val>
          <c:extLst>
            <c:ext xmlns:c16="http://schemas.microsoft.com/office/drawing/2014/chart" uri="{C3380CC4-5D6E-409C-BE32-E72D297353CC}">
              <c16:uniqueId val="{00000004-8AC2-4C8B-A293-C43E41806BCB}"/>
            </c:ext>
          </c:extLst>
        </c:ser>
        <c:dLbls>
          <c:showLegendKey val="0"/>
          <c:showVal val="0"/>
          <c:showCatName val="0"/>
          <c:showSerName val="0"/>
          <c:showPercent val="0"/>
          <c:showBubbleSize val="0"/>
        </c:dLbls>
        <c:gapWidth val="80"/>
        <c:axId val="378595088"/>
        <c:axId val="378588368"/>
      </c:barChart>
      <c:catAx>
        <c:axId val="378595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crossAx val="378588368"/>
        <c:crosses val="autoZero"/>
        <c:auto val="1"/>
        <c:lblAlgn val="ctr"/>
        <c:lblOffset val="100"/>
        <c:noMultiLvlLbl val="0"/>
      </c:catAx>
      <c:valAx>
        <c:axId val="378588368"/>
        <c:scaling>
          <c:orientation val="minMax"/>
        </c:scaling>
        <c:delete val="1"/>
        <c:axPos val="b"/>
        <c:numFmt formatCode="General" sourceLinked="1"/>
        <c:majorTickMark val="none"/>
        <c:minorTickMark val="none"/>
        <c:tickLblPos val="nextTo"/>
        <c:crossAx val="378595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 4!PivotTable10</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C6E3E8A9-449D-4910-9557-340BCF0AB257}"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6334149B-A5AB-41DA-A2C5-3646487EA29B}"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013532156456176"/>
          <c:y val="0.18980270122745982"/>
          <c:w val="0.58859647432472428"/>
          <c:h val="0.68788343356853365"/>
        </c:manualLayout>
      </c:layout>
      <c:pie3DChart>
        <c:varyColors val="1"/>
        <c:ser>
          <c:idx val="0"/>
          <c:order val="0"/>
          <c:tx>
            <c:strRef>
              <c:f>'Pivot Report 4'!$C$3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83E2-402D-BE22-DA2066F5B08B}"/>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83E2-402D-BE22-DA2066F5B08B}"/>
              </c:ext>
            </c:extLst>
          </c:dPt>
          <c:dLbls>
            <c:dLbl>
              <c:idx val="0"/>
              <c:tx>
                <c:rich>
                  <a:bodyPr/>
                  <a:lstStyle/>
                  <a:p>
                    <a:r>
                      <a:rPr lang="en-US" baseline="0"/>
                      <a:t> </a:t>
                    </a:r>
                    <a:fld id="{C6E3E8A9-449D-4910-9557-340BCF0AB257}" type="PERCENTAGE">
                      <a:rPr lang="en-US" baseline="0"/>
                      <a:pPr/>
                      <a:t>[PERCENTAGE]</a:t>
                    </a:fld>
                    <a:endParaRPr lang="en-US" baseline="0"/>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3E2-402D-BE22-DA2066F5B08B}"/>
                </c:ext>
              </c:extLst>
            </c:dLbl>
            <c:dLbl>
              <c:idx val="1"/>
              <c:tx>
                <c:rich>
                  <a:bodyPr/>
                  <a:lstStyle/>
                  <a:p>
                    <a:r>
                      <a:rPr lang="en-US" baseline="0"/>
                      <a:t> </a:t>
                    </a:r>
                    <a:fld id="{6334149B-A5AB-41DA-A2C5-3646487EA29B}" type="PERCENTAGE">
                      <a:rPr lang="en-US" baseline="0"/>
                      <a:pPr/>
                      <a:t>[PERCENTAGE]</a:t>
                    </a:fld>
                    <a:endParaRPr lang="en-US" baseline="0"/>
                  </a:p>
                </c:rich>
              </c:tx>
              <c:dLblPos val="inEnd"/>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3E2-402D-BE22-DA2066F5B08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 4'!$B$4:$B$6</c:f>
              <c:strCache>
                <c:ptCount val="2"/>
                <c:pt idx="0">
                  <c:v>Delay</c:v>
                </c:pt>
                <c:pt idx="1">
                  <c:v>On-Time</c:v>
                </c:pt>
              </c:strCache>
            </c:strRef>
          </c:cat>
          <c:val>
            <c:numRef>
              <c:f>'Pivot Report 4'!$C$4:$C$6</c:f>
              <c:numCache>
                <c:formatCode>General</c:formatCode>
                <c:ptCount val="2"/>
                <c:pt idx="0">
                  <c:v>311</c:v>
                </c:pt>
                <c:pt idx="1">
                  <c:v>195</c:v>
                </c:pt>
              </c:numCache>
            </c:numRef>
          </c:val>
          <c:extLst>
            <c:ext xmlns:c16="http://schemas.microsoft.com/office/drawing/2014/chart" uri="{C3380CC4-5D6E-409C-BE32-E72D297353CC}">
              <c16:uniqueId val="{00000008-1F1C-4A86-ADE7-A3DF1F9E3FF8}"/>
            </c:ext>
          </c:extLst>
        </c:ser>
        <c:dLbls>
          <c:dLblPos val="inEnd"/>
          <c:showLegendKey val="0"/>
          <c:showVal val="0"/>
          <c:showCatName val="0"/>
          <c:showSerName val="0"/>
          <c:showPercent val="1"/>
          <c:showBubbleSize val="0"/>
          <c:showLeaderLines val="1"/>
        </c:dLbls>
      </c:pie3DChart>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Entry>
      <c:layout>
        <c:manualLayout>
          <c:xMode val="edge"/>
          <c:yMode val="edge"/>
          <c:x val="7.6101751626109562E-2"/>
          <c:y val="6.4412024021426317E-2"/>
          <c:w val="0.80508057410031864"/>
          <c:h val="0.100074683906712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50800" dir="5400000" algn="ctr" rotWithShape="0">
        <a:srgbClr val="000000"/>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 1!PivotTable8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21CF4B65-6B4A-4FE0-983B-D97B1FA551E5}" type="CELLRANGE">
                  <a:rPr lang="en-US" sz="700"/>
                  <a:pPr>
                    <a:defRPr sz="700" b="0" i="0" u="none" strike="noStrike" kern="1200" baseline="0">
                      <a:solidFill>
                        <a:sysClr val="windowText" lastClr="000000"/>
                      </a:solidFill>
                      <a:latin typeface="+mn-lt"/>
                      <a:ea typeface="+mn-ea"/>
                      <a:cs typeface="+mn-cs"/>
                    </a:defRPr>
                  </a:pPr>
                  <a:t>[CELLRANGE]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chemeClr val="accent1"/>
          </a:solidFill>
          <a:ln>
            <a:noFill/>
          </a:ln>
          <a:effectLst/>
        </c:spPr>
        <c:dLbl>
          <c:idx val="0"/>
          <c:tx>
            <c:rich>
              <a:bodyPr rot="0" spcFirstLastPara="1" vertOverflow="ellipsis" vert="horz" wrap="non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fld id="{FAA5E757-1AC3-42D8-9162-4A7101C459DA}" type="CELLRANGE">
                  <a:rPr lang="en-US" sz="700"/>
                  <a:pPr>
                    <a:defRPr sz="700" b="0" i="0" u="none" strike="noStrike" kern="1200" baseline="0">
                      <a:solidFill>
                        <a:sysClr val="windowText" lastClr="000000"/>
                      </a:solidFill>
                      <a:latin typeface="+mn-lt"/>
                      <a:ea typeface="+mn-ea"/>
                      <a:cs typeface="+mn-cs"/>
                    </a:defRPr>
                  </a:pPr>
                  <a:t>[CELLRANGE]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0"/>
          <c:y val="0"/>
          <c:w val="1"/>
          <c:h val="0.90810777559055122"/>
        </c:manualLayout>
      </c:layout>
      <c:barChart>
        <c:barDir val="bar"/>
        <c:grouping val="clustered"/>
        <c:varyColors val="0"/>
        <c:ser>
          <c:idx val="0"/>
          <c:order val="0"/>
          <c:tx>
            <c:strRef>
              <c:f>'Pivot Report 1'!$G$5:$G$6</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A654-409F-B0BE-C0F6B42E7001}"/>
              </c:ext>
            </c:extLst>
          </c:dPt>
          <c:dPt>
            <c:idx val="1"/>
            <c:invertIfNegative val="0"/>
            <c:bubble3D val="0"/>
            <c:extLst>
              <c:ext xmlns:c16="http://schemas.microsoft.com/office/drawing/2014/chart" uri="{C3380CC4-5D6E-409C-BE32-E72D297353CC}">
                <c16:uniqueId val="{00000004-A654-409F-B0BE-C0F6B42E7001}"/>
              </c:ext>
            </c:extLst>
          </c:dPt>
          <c:dLbls>
            <c:dLbl>
              <c:idx val="0"/>
              <c:tx>
                <c:rich>
                  <a:bodyPr/>
                  <a:lstStyle/>
                  <a:p>
                    <a:fld id="{21CF4B65-6B4A-4FE0-983B-D97B1FA551E5}" type="CELLRANGE">
                      <a:rPr lang="en-US" sz="700"/>
                      <a:pPr/>
                      <a:t>[CELLRANGE]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654-409F-B0BE-C0F6B42E7001}"/>
                </c:ext>
              </c:extLst>
            </c:dLbl>
            <c:dLbl>
              <c:idx val="1"/>
              <c:tx>
                <c:rich>
                  <a:bodyPr/>
                  <a:lstStyle/>
                  <a:p>
                    <a:fld id="{FAA5E757-1AC3-42D8-9162-4A7101C459DA}" type="CELLRANGE">
                      <a:rPr lang="en-US" sz="700"/>
                      <a:pPr/>
                      <a:t>[CELLRANGE]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A654-409F-B0BE-C0F6B42E7001}"/>
                </c:ext>
              </c:extLst>
            </c:dLbl>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 1'!$G$5:$G$6</c:f>
              <c:strCache>
                <c:ptCount val="2"/>
                <c:pt idx="0">
                  <c:v>Admitted</c:v>
                </c:pt>
                <c:pt idx="1">
                  <c:v>Not Admitted</c:v>
                </c:pt>
              </c:strCache>
            </c:strRef>
          </c:cat>
          <c:val>
            <c:numRef>
              <c:f>'Pivot Report 1'!$G$5:$G$6</c:f>
              <c:numCache>
                <c:formatCode>0</c:formatCode>
                <c:ptCount val="2"/>
                <c:pt idx="0">
                  <c:v>252</c:v>
                </c:pt>
                <c:pt idx="1">
                  <c:v>254</c:v>
                </c:pt>
              </c:numCache>
            </c:numRef>
          </c:val>
          <c:extLst>
            <c:ext xmlns:c15="http://schemas.microsoft.com/office/drawing/2012/chart" uri="{02D57815-91ED-43cb-92C2-25804820EDAC}">
              <c15:datalabelsRange>
                <c15:f>'Pivot Report 1'!$G$5:$G$6</c15:f>
                <c15:dlblRangeCache>
                  <c:ptCount val="2"/>
                  <c:pt idx="0">
                    <c:v>49.80%</c:v>
                  </c:pt>
                  <c:pt idx="1">
                    <c:v>50.20%</c:v>
                  </c:pt>
                </c15:dlblRangeCache>
              </c15:datalabelsRange>
            </c:ext>
            <c:ext xmlns:c16="http://schemas.microsoft.com/office/drawing/2014/chart" uri="{C3380CC4-5D6E-409C-BE32-E72D297353CC}">
              <c16:uniqueId val="{00000000-A654-409F-B0BE-C0F6B42E7001}"/>
            </c:ext>
          </c:extLst>
        </c:ser>
        <c:ser>
          <c:idx val="1"/>
          <c:order val="1"/>
          <c:tx>
            <c:strRef>
              <c:f>'Pivot Report 1'!$G$5:$G$6</c:f>
              <c:strCache>
                <c:ptCount val="1"/>
                <c:pt idx="0">
                  <c:v>Count of Patient Admission Flag2</c:v>
                </c:pt>
              </c:strCache>
            </c:strRef>
          </c:tx>
          <c:spPr>
            <a:solidFill>
              <a:schemeClr val="accent2"/>
            </a:solidFill>
            <a:ln>
              <a:noFill/>
            </a:ln>
            <a:effectLst/>
          </c:spPr>
          <c:invertIfNegative val="0"/>
          <c:cat>
            <c:strRef>
              <c:f>'Pivot Report 1'!$G$5:$G$6</c:f>
              <c:strCache>
                <c:ptCount val="2"/>
                <c:pt idx="0">
                  <c:v>Admitted</c:v>
                </c:pt>
                <c:pt idx="1">
                  <c:v>Not Admitted</c:v>
                </c:pt>
              </c:strCache>
            </c:strRef>
          </c:cat>
          <c:val>
            <c:numRef>
              <c:f>'Pivot Report 1'!$G$5:$G$6</c:f>
              <c:numCache>
                <c:formatCode>0.00%</c:formatCode>
                <c:ptCount val="2"/>
                <c:pt idx="0">
                  <c:v>0.49802371541501977</c:v>
                </c:pt>
                <c:pt idx="1">
                  <c:v>0.50197628458498023</c:v>
                </c:pt>
              </c:numCache>
            </c:numRef>
          </c:val>
          <c:extLst>
            <c:ext xmlns:c16="http://schemas.microsoft.com/office/drawing/2014/chart" uri="{C3380CC4-5D6E-409C-BE32-E72D297353CC}">
              <c16:uniqueId val="{00000001-A654-409F-B0BE-C0F6B42E7001}"/>
            </c:ext>
          </c:extLst>
        </c:ser>
        <c:dLbls>
          <c:showLegendKey val="0"/>
          <c:showVal val="0"/>
          <c:showCatName val="0"/>
          <c:showSerName val="0"/>
          <c:showPercent val="0"/>
          <c:showBubbleSize val="0"/>
        </c:dLbls>
        <c:gapWidth val="80"/>
        <c:axId val="230200464"/>
        <c:axId val="208620272"/>
      </c:barChart>
      <c:catAx>
        <c:axId val="230200464"/>
        <c:scaling>
          <c:orientation val="minMax"/>
        </c:scaling>
        <c:delete val="1"/>
        <c:axPos val="l"/>
        <c:numFmt formatCode="General" sourceLinked="1"/>
        <c:majorTickMark val="none"/>
        <c:minorTickMark val="none"/>
        <c:tickLblPos val="nextTo"/>
        <c:crossAx val="208620272"/>
        <c:crosses val="autoZero"/>
        <c:auto val="1"/>
        <c:lblAlgn val="ctr"/>
        <c:lblOffset val="100"/>
        <c:noMultiLvlLbl val="0"/>
      </c:catAx>
      <c:valAx>
        <c:axId val="208620272"/>
        <c:scaling>
          <c:orientation val="minMax"/>
        </c:scaling>
        <c:delete val="1"/>
        <c:axPos val="b"/>
        <c:numFmt formatCode="0" sourceLinked="1"/>
        <c:majorTickMark val="none"/>
        <c:minorTickMark val="none"/>
        <c:tickLblPos val="nextTo"/>
        <c:crossAx val="230200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 2!PivotTable5</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272562083585697E-2"/>
          <c:y val="0.17749384087725231"/>
          <c:w val="0.88688946015424164"/>
          <c:h val="0.44340703987344049"/>
        </c:manualLayout>
      </c:layout>
      <c:areaChart>
        <c:grouping val="standard"/>
        <c:varyColors val="0"/>
        <c:ser>
          <c:idx val="0"/>
          <c:order val="0"/>
          <c:tx>
            <c:strRef>
              <c:f>'Pivot Report 2'!$C$3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 2'!$B$4:$B$34</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 2'!$C$4:$C$34</c:f>
              <c:numCache>
                <c:formatCode>General</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6-5A4E-498B-A810-CD89B134DF9C}"/>
            </c:ext>
          </c:extLst>
        </c:ser>
        <c:dLbls>
          <c:showLegendKey val="0"/>
          <c:showVal val="0"/>
          <c:showCatName val="0"/>
          <c:showSerName val="0"/>
          <c:showPercent val="0"/>
          <c:showBubbleSize val="0"/>
        </c:dLbls>
        <c:axId val="894854592"/>
        <c:axId val="894811872"/>
      </c:areaChart>
      <c:catAx>
        <c:axId val="89485459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4811872"/>
        <c:crosses val="autoZero"/>
        <c:auto val="1"/>
        <c:lblAlgn val="ctr"/>
        <c:lblOffset val="100"/>
        <c:noMultiLvlLbl val="0"/>
      </c:catAx>
      <c:valAx>
        <c:axId val="8948118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485459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 2!PivotTable6</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570697554493346E-2"/>
          <c:y val="0.18677234576447174"/>
          <c:w val="0.88192893552033957"/>
          <c:h val="0.6343916241239077"/>
        </c:manualLayout>
      </c:layout>
      <c:areaChart>
        <c:grouping val="standard"/>
        <c:varyColors val="0"/>
        <c:ser>
          <c:idx val="0"/>
          <c:order val="0"/>
          <c:tx>
            <c:strRef>
              <c:f>'Pivot Report 2'!$G$3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 2'!$F$4:$F$34</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 2'!$G$4:$G$34</c:f>
              <c:numCache>
                <c:formatCode>0.00</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7-21F3-4029-BE21-61A1D0B4D487}"/>
            </c:ext>
          </c:extLst>
        </c:ser>
        <c:dLbls>
          <c:showLegendKey val="0"/>
          <c:showVal val="0"/>
          <c:showCatName val="0"/>
          <c:showSerName val="0"/>
          <c:showPercent val="0"/>
          <c:showBubbleSize val="0"/>
        </c:dLbls>
        <c:axId val="900718304"/>
        <c:axId val="900718784"/>
      </c:areaChart>
      <c:catAx>
        <c:axId val="90071830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0718784"/>
        <c:crosses val="autoZero"/>
        <c:auto val="1"/>
        <c:lblAlgn val="ctr"/>
        <c:lblOffset val="100"/>
        <c:noMultiLvlLbl val="0"/>
      </c:catAx>
      <c:valAx>
        <c:axId val="900718784"/>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07183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 2!PivotTable7</c:name>
    <c:fmtId val="4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358465983119016E-2"/>
          <c:y val="0.14349775784753363"/>
          <c:w val="0.86951305727071881"/>
          <c:h val="0.5945824653084284"/>
        </c:manualLayout>
      </c:layout>
      <c:areaChart>
        <c:grouping val="standard"/>
        <c:varyColors val="0"/>
        <c:ser>
          <c:idx val="0"/>
          <c:order val="0"/>
          <c:tx>
            <c:strRef>
              <c:f>'Pivot Report 2'!$K$3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 2'!$J$4:$J$34</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 2'!$K$4:$K$34</c:f>
              <c:numCache>
                <c:formatCode>0.00</c:formatCode>
                <c:ptCount val="30"/>
                <c:pt idx="0">
                  <c:v>4.8</c:v>
                </c:pt>
                <c:pt idx="1">
                  <c:v>5.333333333333333</c:v>
                </c:pt>
                <c:pt idx="2">
                  <c:v>6.666666666666667</c:v>
                </c:pt>
                <c:pt idx="3">
                  <c:v>4.5555555555555554</c:v>
                </c:pt>
                <c:pt idx="4">
                  <c:v>4.333333333333333</c:v>
                </c:pt>
                <c:pt idx="5">
                  <c:v>7.333333333333333</c:v>
                </c:pt>
                <c:pt idx="6">
                  <c:v>5.25</c:v>
                </c:pt>
                <c:pt idx="7">
                  <c:v>6.333333333333333</c:v>
                </c:pt>
                <c:pt idx="8">
                  <c:v>5.7142857142857144</c:v>
                </c:pt>
                <c:pt idx="9">
                  <c:v>5</c:v>
                </c:pt>
                <c:pt idx="10">
                  <c:v>6.166666666666667</c:v>
                </c:pt>
                <c:pt idx="11">
                  <c:v>3</c:v>
                </c:pt>
                <c:pt idx="12">
                  <c:v>4.5</c:v>
                </c:pt>
                <c:pt idx="13">
                  <c:v>4.666666666666667</c:v>
                </c:pt>
                <c:pt idx="14">
                  <c:v>9</c:v>
                </c:pt>
                <c:pt idx="15">
                  <c:v>1.5</c:v>
                </c:pt>
                <c:pt idx="16">
                  <c:v>6.8</c:v>
                </c:pt>
                <c:pt idx="17">
                  <c:v>4.625</c:v>
                </c:pt>
                <c:pt idx="18">
                  <c:v>4.333333333333333</c:v>
                </c:pt>
                <c:pt idx="19">
                  <c:v>1.3333333333333333</c:v>
                </c:pt>
                <c:pt idx="20">
                  <c:v>5</c:v>
                </c:pt>
                <c:pt idx="21">
                  <c:v>3.1666666666666665</c:v>
                </c:pt>
                <c:pt idx="22">
                  <c:v>7.5</c:v>
                </c:pt>
                <c:pt idx="23">
                  <c:v>4.2</c:v>
                </c:pt>
                <c:pt idx="24">
                  <c:v>4.625</c:v>
                </c:pt>
                <c:pt idx="25">
                  <c:v>9.6666666666666661</c:v>
                </c:pt>
                <c:pt idx="26">
                  <c:v>6.125</c:v>
                </c:pt>
                <c:pt idx="27">
                  <c:v>5.5555555555555554</c:v>
                </c:pt>
                <c:pt idx="28">
                  <c:v>6.333333333333333</c:v>
                </c:pt>
                <c:pt idx="29">
                  <c:v>5.333333333333333</c:v>
                </c:pt>
              </c:numCache>
            </c:numRef>
          </c:val>
          <c:extLst>
            <c:ext xmlns:c16="http://schemas.microsoft.com/office/drawing/2014/chart" uri="{C3380CC4-5D6E-409C-BE32-E72D297353CC}">
              <c16:uniqueId val="{00000006-F833-4989-9053-9CD3DD08B876}"/>
            </c:ext>
          </c:extLst>
        </c:ser>
        <c:dLbls>
          <c:showLegendKey val="0"/>
          <c:showVal val="0"/>
          <c:showCatName val="0"/>
          <c:showSerName val="0"/>
          <c:showPercent val="0"/>
          <c:showBubbleSize val="0"/>
        </c:dLbls>
        <c:axId val="238248992"/>
        <c:axId val="238249952"/>
      </c:areaChart>
      <c:catAx>
        <c:axId val="23824899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8249952"/>
        <c:crosses val="autoZero"/>
        <c:auto val="1"/>
        <c:lblAlgn val="ctr"/>
        <c:lblOffset val="100"/>
        <c:noMultiLvlLbl val="0"/>
      </c:catAx>
      <c:valAx>
        <c:axId val="238249952"/>
        <c:scaling>
          <c:orientation val="minMax"/>
        </c:scaling>
        <c:delete val="1"/>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2382489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3.xml"/><Relationship Id="rId18" Type="http://schemas.openxmlformats.org/officeDocument/2006/relationships/chart" Target="../charts/chart7.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5" Type="http://schemas.openxmlformats.org/officeDocument/2006/relationships/chart" Target="../charts/chart4.xml"/><Relationship Id="rId10" Type="http://schemas.openxmlformats.org/officeDocument/2006/relationships/hyperlink" Target="#'Avg. wait time daily trend'!A1"/><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image" Target="../media/image8.emf"/></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absolute">
    <xdr:from>
      <xdr:col>0</xdr:col>
      <xdr:colOff>59665</xdr:colOff>
      <xdr:row>0</xdr:row>
      <xdr:rowOff>49893</xdr:rowOff>
    </xdr:from>
    <xdr:to>
      <xdr:col>5</xdr:col>
      <xdr:colOff>113391</xdr:colOff>
      <xdr:row>2</xdr:row>
      <xdr:rowOff>31750</xdr:rowOff>
    </xdr:to>
    <xdr:sp macro="" textlink="">
      <xdr:nvSpPr>
        <xdr:cNvPr id="2" name="Rectangle: Rounded Corners 1">
          <a:extLst>
            <a:ext uri="{FF2B5EF4-FFF2-40B4-BE49-F238E27FC236}">
              <a16:creationId xmlns:a16="http://schemas.microsoft.com/office/drawing/2014/main" id="{A7D16856-663A-3911-3C36-B0CF1D34CB84}"/>
            </a:ext>
          </a:extLst>
        </xdr:cNvPr>
        <xdr:cNvSpPr/>
      </xdr:nvSpPr>
      <xdr:spPr>
        <a:xfrm>
          <a:off x="59665" y="49893"/>
          <a:ext cx="3100874" cy="34836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106544</xdr:colOff>
      <xdr:row>0</xdr:row>
      <xdr:rowOff>54428</xdr:rowOff>
    </xdr:from>
    <xdr:to>
      <xdr:col>11</xdr:col>
      <xdr:colOff>311107</xdr:colOff>
      <xdr:row>2</xdr:row>
      <xdr:rowOff>25571</xdr:rowOff>
    </xdr:to>
    <xdr:sp macro="" textlink="">
      <xdr:nvSpPr>
        <xdr:cNvPr id="3" name="Rectangle: Rounded Corners 2">
          <a:extLst>
            <a:ext uri="{FF2B5EF4-FFF2-40B4-BE49-F238E27FC236}">
              <a16:creationId xmlns:a16="http://schemas.microsoft.com/office/drawing/2014/main" id="{341EEC3C-4998-4C5E-8019-2A6C828F8F4D}"/>
            </a:ext>
          </a:extLst>
        </xdr:cNvPr>
        <xdr:cNvSpPr/>
      </xdr:nvSpPr>
      <xdr:spPr>
        <a:xfrm>
          <a:off x="4981980" y="54428"/>
          <a:ext cx="2032852" cy="33765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176614</xdr:colOff>
      <xdr:row>0</xdr:row>
      <xdr:rowOff>47276</xdr:rowOff>
    </xdr:from>
    <xdr:to>
      <xdr:col>8</xdr:col>
      <xdr:colOff>54151</xdr:colOff>
      <xdr:row>6</xdr:row>
      <xdr:rowOff>102282</xdr:rowOff>
    </xdr:to>
    <xdr:sp macro="" textlink="">
      <xdr:nvSpPr>
        <xdr:cNvPr id="4" name="Rectangle: Rounded Corners 3">
          <a:extLst>
            <a:ext uri="{FF2B5EF4-FFF2-40B4-BE49-F238E27FC236}">
              <a16:creationId xmlns:a16="http://schemas.microsoft.com/office/drawing/2014/main" id="{AF9FC6D1-4C61-4B73-8BB3-75F52E8EBF3B}"/>
            </a:ext>
          </a:extLst>
        </xdr:cNvPr>
        <xdr:cNvSpPr/>
      </xdr:nvSpPr>
      <xdr:spPr>
        <a:xfrm>
          <a:off x="3223762" y="47276"/>
          <a:ext cx="1705825" cy="1154536"/>
        </a:xfrm>
        <a:prstGeom prst="roundRect">
          <a:avLst>
            <a:gd name="adj" fmla="val 560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55403</xdr:colOff>
      <xdr:row>2</xdr:row>
      <xdr:rowOff>68528</xdr:rowOff>
    </xdr:from>
    <xdr:to>
      <xdr:col>5</xdr:col>
      <xdr:colOff>123590</xdr:colOff>
      <xdr:row>5</xdr:row>
      <xdr:rowOff>145418</xdr:rowOff>
    </xdr:to>
    <xdr:grpSp>
      <xdr:nvGrpSpPr>
        <xdr:cNvPr id="10" name="Group 9">
          <a:extLst>
            <a:ext uri="{FF2B5EF4-FFF2-40B4-BE49-F238E27FC236}">
              <a16:creationId xmlns:a16="http://schemas.microsoft.com/office/drawing/2014/main" id="{9A878E09-6A71-0158-6EFB-0D9A87AD62F9}"/>
            </a:ext>
          </a:extLst>
        </xdr:cNvPr>
        <xdr:cNvGrpSpPr/>
      </xdr:nvGrpSpPr>
      <xdr:grpSpPr>
        <a:xfrm>
          <a:off x="55403" y="433996"/>
          <a:ext cx="3106137" cy="634228"/>
          <a:chOff x="770379" y="453984"/>
          <a:chExt cx="2135548" cy="666342"/>
        </a:xfrm>
      </xdr:grpSpPr>
      <xdr:sp macro="" textlink="">
        <xdr:nvSpPr>
          <xdr:cNvPr id="7" name="Rectangle: Rounded Corners 6">
            <a:extLst>
              <a:ext uri="{FF2B5EF4-FFF2-40B4-BE49-F238E27FC236}">
                <a16:creationId xmlns:a16="http://schemas.microsoft.com/office/drawing/2014/main" id="{E611BD29-63ED-4BF9-924C-4BD774EBD0A5}"/>
              </a:ext>
            </a:extLst>
          </xdr:cNvPr>
          <xdr:cNvSpPr/>
        </xdr:nvSpPr>
        <xdr:spPr>
          <a:xfrm rot="16200000">
            <a:off x="787442" y="441042"/>
            <a:ext cx="662218" cy="696343"/>
          </a:xfrm>
          <a:prstGeom prst="roundRect">
            <a:avLst>
              <a:gd name="adj" fmla="val 689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601A518F-479A-47A3-A825-762A7A1508E4}"/>
              </a:ext>
            </a:extLst>
          </xdr:cNvPr>
          <xdr:cNvSpPr/>
        </xdr:nvSpPr>
        <xdr:spPr>
          <a:xfrm rot="16200000">
            <a:off x="1506168" y="441045"/>
            <a:ext cx="662218" cy="696343"/>
          </a:xfrm>
          <a:prstGeom prst="roundRect">
            <a:avLst>
              <a:gd name="adj" fmla="val 689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A7938EBA-5B62-43C9-8B31-FEBF64763F34}"/>
              </a:ext>
            </a:extLst>
          </xdr:cNvPr>
          <xdr:cNvSpPr/>
        </xdr:nvSpPr>
        <xdr:spPr>
          <a:xfrm rot="16200000">
            <a:off x="2226647" y="436921"/>
            <a:ext cx="662218" cy="696343"/>
          </a:xfrm>
          <a:prstGeom prst="roundRect">
            <a:avLst>
              <a:gd name="adj" fmla="val 689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68187</xdr:colOff>
      <xdr:row>5</xdr:row>
      <xdr:rowOff>181430</xdr:rowOff>
    </xdr:from>
    <xdr:to>
      <xdr:col>5</xdr:col>
      <xdr:colOff>131534</xdr:colOff>
      <xdr:row>8</xdr:row>
      <xdr:rowOff>54429</xdr:rowOff>
    </xdr:to>
    <xdr:sp macro="" textlink="">
      <xdr:nvSpPr>
        <xdr:cNvPr id="11" name="Rectangle: Rounded Corners 10">
          <a:extLst>
            <a:ext uri="{FF2B5EF4-FFF2-40B4-BE49-F238E27FC236}">
              <a16:creationId xmlns:a16="http://schemas.microsoft.com/office/drawing/2014/main" id="{C252D79F-6B2A-42FF-ABB4-3AEEAB3AE9FD}"/>
            </a:ext>
          </a:extLst>
        </xdr:cNvPr>
        <xdr:cNvSpPr/>
      </xdr:nvSpPr>
      <xdr:spPr>
        <a:xfrm>
          <a:off x="68187" y="1097705"/>
          <a:ext cx="3110495" cy="422764"/>
        </a:xfrm>
        <a:prstGeom prst="roundRect">
          <a:avLst>
            <a:gd name="adj" fmla="val 935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49618</xdr:colOff>
      <xdr:row>8</xdr:row>
      <xdr:rowOff>95249</xdr:rowOff>
    </xdr:from>
    <xdr:to>
      <xdr:col>5</xdr:col>
      <xdr:colOff>144868</xdr:colOff>
      <xdr:row>13</xdr:row>
      <xdr:rowOff>4262</xdr:rowOff>
    </xdr:to>
    <xdr:sp macro="" textlink="">
      <xdr:nvSpPr>
        <xdr:cNvPr id="12" name="Rectangle: Rounded Corners 11">
          <a:extLst>
            <a:ext uri="{FF2B5EF4-FFF2-40B4-BE49-F238E27FC236}">
              <a16:creationId xmlns:a16="http://schemas.microsoft.com/office/drawing/2014/main" id="{9F5EF4C4-E918-48D7-84DF-D6824A168ED4}"/>
            </a:ext>
          </a:extLst>
        </xdr:cNvPr>
        <xdr:cNvSpPr/>
      </xdr:nvSpPr>
      <xdr:spPr>
        <a:xfrm>
          <a:off x="49618" y="1561289"/>
          <a:ext cx="3142398" cy="825288"/>
        </a:xfrm>
        <a:prstGeom prst="roundRect">
          <a:avLst>
            <a:gd name="adj" fmla="val 423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104597</xdr:colOff>
      <xdr:row>2</xdr:row>
      <xdr:rowOff>63926</xdr:rowOff>
    </xdr:from>
    <xdr:to>
      <xdr:col>11</xdr:col>
      <xdr:colOff>313240</xdr:colOff>
      <xdr:row>13</xdr:row>
      <xdr:rowOff>17046</xdr:rowOff>
    </xdr:to>
    <xdr:sp macro="" textlink="">
      <xdr:nvSpPr>
        <xdr:cNvPr id="14" name="Rectangle: Rounded Corners 13">
          <a:extLst>
            <a:ext uri="{FF2B5EF4-FFF2-40B4-BE49-F238E27FC236}">
              <a16:creationId xmlns:a16="http://schemas.microsoft.com/office/drawing/2014/main" id="{EF5EDBDC-09A1-4647-9275-8F39CF07954A}"/>
            </a:ext>
          </a:extLst>
        </xdr:cNvPr>
        <xdr:cNvSpPr/>
      </xdr:nvSpPr>
      <xdr:spPr>
        <a:xfrm>
          <a:off x="4980033" y="430436"/>
          <a:ext cx="2036932" cy="1977449"/>
        </a:xfrm>
        <a:prstGeom prst="roundRect">
          <a:avLst>
            <a:gd name="adj" fmla="val 244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129466</xdr:colOff>
      <xdr:row>0</xdr:row>
      <xdr:rowOff>90714</xdr:rowOff>
    </xdr:from>
    <xdr:to>
      <xdr:col>5</xdr:col>
      <xdr:colOff>56895</xdr:colOff>
      <xdr:row>1</xdr:row>
      <xdr:rowOff>68036</xdr:rowOff>
    </xdr:to>
    <xdr:sp macro="" textlink="">
      <xdr:nvSpPr>
        <xdr:cNvPr id="15" name="TextBox 14">
          <a:extLst>
            <a:ext uri="{FF2B5EF4-FFF2-40B4-BE49-F238E27FC236}">
              <a16:creationId xmlns:a16="http://schemas.microsoft.com/office/drawing/2014/main" id="{ACAB5673-A209-974C-FE35-4D674773BEAA}"/>
            </a:ext>
          </a:extLst>
        </xdr:cNvPr>
        <xdr:cNvSpPr txBox="1"/>
      </xdr:nvSpPr>
      <xdr:spPr>
        <a:xfrm>
          <a:off x="738896" y="90714"/>
          <a:ext cx="2365147" cy="160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latin typeface="Cambria" panose="02040503050406030204" pitchFamily="18" charset="0"/>
              <a:ea typeface="Cambria" panose="02040503050406030204" pitchFamily="18" charset="0"/>
            </a:rPr>
            <a:t>Hospital Emergency Room Dashboard</a:t>
          </a:r>
        </a:p>
      </xdr:txBody>
    </xdr:sp>
    <xdr:clientData/>
  </xdr:twoCellAnchor>
  <xdr:twoCellAnchor editAs="oneCell">
    <xdr:from>
      <xdr:col>0</xdr:col>
      <xdr:colOff>0</xdr:colOff>
      <xdr:row>0</xdr:row>
      <xdr:rowOff>32025</xdr:rowOff>
    </xdr:from>
    <xdr:to>
      <xdr:col>1</xdr:col>
      <xdr:colOff>166207</xdr:colOff>
      <xdr:row>2</xdr:row>
      <xdr:rowOff>42000</xdr:rowOff>
    </xdr:to>
    <xdr:pic>
      <xdr:nvPicPr>
        <xdr:cNvPr id="17" name="Picture 16">
          <a:extLst>
            <a:ext uri="{FF2B5EF4-FFF2-40B4-BE49-F238E27FC236}">
              <a16:creationId xmlns:a16="http://schemas.microsoft.com/office/drawing/2014/main" id="{D6256A78-CD5A-6A17-13B1-59FE06008C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2025"/>
          <a:ext cx="775637" cy="376485"/>
        </a:xfrm>
        <a:prstGeom prst="rect">
          <a:avLst/>
        </a:prstGeom>
      </xdr:spPr>
    </xdr:pic>
    <xdr:clientData/>
  </xdr:twoCellAnchor>
  <xdr:twoCellAnchor>
    <xdr:from>
      <xdr:col>2</xdr:col>
      <xdr:colOff>326573</xdr:colOff>
      <xdr:row>1</xdr:row>
      <xdr:rowOff>49894</xdr:rowOff>
    </xdr:from>
    <xdr:to>
      <xdr:col>3</xdr:col>
      <xdr:colOff>508001</xdr:colOff>
      <xdr:row>2</xdr:row>
      <xdr:rowOff>40821</xdr:rowOff>
    </xdr:to>
    <xdr:sp macro="" textlink="">
      <xdr:nvSpPr>
        <xdr:cNvPr id="18" name="TextBox 17">
          <a:extLst>
            <a:ext uri="{FF2B5EF4-FFF2-40B4-BE49-F238E27FC236}">
              <a16:creationId xmlns:a16="http://schemas.microsoft.com/office/drawing/2014/main" id="{723439A1-CB66-76DE-72E1-9B37863C0E49}"/>
            </a:ext>
          </a:extLst>
        </xdr:cNvPr>
        <xdr:cNvSpPr txBox="1"/>
      </xdr:nvSpPr>
      <xdr:spPr>
        <a:xfrm>
          <a:off x="1542144" y="235858"/>
          <a:ext cx="789214" cy="176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700"/>
            <a:t>Monthly Report</a:t>
          </a:r>
        </a:p>
      </xdr:txBody>
    </xdr:sp>
    <xdr:clientData/>
  </xdr:twoCellAnchor>
  <xdr:twoCellAnchor>
    <xdr:from>
      <xdr:col>0</xdr:col>
      <xdr:colOff>31750</xdr:colOff>
      <xdr:row>3</xdr:row>
      <xdr:rowOff>149677</xdr:rowOff>
    </xdr:from>
    <xdr:to>
      <xdr:col>1</xdr:col>
      <xdr:colOff>449034</xdr:colOff>
      <xdr:row>4</xdr:row>
      <xdr:rowOff>145142</xdr:rowOff>
    </xdr:to>
    <xdr:sp macro="" textlink="">
      <xdr:nvSpPr>
        <xdr:cNvPr id="19" name="TextBox 18">
          <a:extLst>
            <a:ext uri="{FF2B5EF4-FFF2-40B4-BE49-F238E27FC236}">
              <a16:creationId xmlns:a16="http://schemas.microsoft.com/office/drawing/2014/main" id="{162C9354-C68D-EEED-F5F2-83ABC42AFCF5}"/>
            </a:ext>
          </a:extLst>
        </xdr:cNvPr>
        <xdr:cNvSpPr txBox="1"/>
      </xdr:nvSpPr>
      <xdr:spPr>
        <a:xfrm>
          <a:off x="31750" y="707570"/>
          <a:ext cx="1025070" cy="181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a:latin typeface="Cambria" panose="02040503050406030204" pitchFamily="18" charset="0"/>
              <a:ea typeface="Cambria" panose="02040503050406030204" pitchFamily="18" charset="0"/>
            </a:rPr>
            <a:t>No.</a:t>
          </a:r>
          <a:r>
            <a:rPr lang="en-IN" sz="800" baseline="0">
              <a:latin typeface="Cambria" panose="02040503050406030204" pitchFamily="18" charset="0"/>
              <a:ea typeface="Cambria" panose="02040503050406030204" pitchFamily="18" charset="0"/>
            </a:rPr>
            <a:t> Of Patient</a:t>
          </a:r>
          <a:endParaRPr lang="en-IN" sz="800">
            <a:latin typeface="Cambria" panose="02040503050406030204" pitchFamily="18" charset="0"/>
            <a:ea typeface="Cambria" panose="02040503050406030204" pitchFamily="18" charset="0"/>
          </a:endParaRPr>
        </a:p>
      </xdr:txBody>
    </xdr:sp>
    <xdr:clientData/>
  </xdr:twoCellAnchor>
  <xdr:twoCellAnchor>
    <xdr:from>
      <xdr:col>0</xdr:col>
      <xdr:colOff>40822</xdr:colOff>
      <xdr:row>2</xdr:row>
      <xdr:rowOff>158750</xdr:rowOff>
    </xdr:from>
    <xdr:to>
      <xdr:col>1</xdr:col>
      <xdr:colOff>435429</xdr:colOff>
      <xdr:row>4</xdr:row>
      <xdr:rowOff>18143</xdr:rowOff>
    </xdr:to>
    <xdr:sp macro="" textlink="'Pivot Report 1'!A2">
      <xdr:nvSpPr>
        <xdr:cNvPr id="20" name="TextBox 19">
          <a:extLst>
            <a:ext uri="{FF2B5EF4-FFF2-40B4-BE49-F238E27FC236}">
              <a16:creationId xmlns:a16="http://schemas.microsoft.com/office/drawing/2014/main" id="{0F621E5B-FCD7-19CE-6790-82A43AC1C44D}"/>
            </a:ext>
          </a:extLst>
        </xdr:cNvPr>
        <xdr:cNvSpPr txBox="1"/>
      </xdr:nvSpPr>
      <xdr:spPr>
        <a:xfrm>
          <a:off x="40822" y="530679"/>
          <a:ext cx="1002393" cy="231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EE88EC9-DEA5-45F6-97D4-73D7D2DEC29C}" type="TxLink">
            <a:rPr lang="en-US" sz="1100" b="0" i="0" u="none" strike="noStrike">
              <a:solidFill>
                <a:srgbClr val="000000"/>
              </a:solidFill>
              <a:latin typeface="Aptos Narrow"/>
            </a:rPr>
            <a:pPr algn="ctr"/>
            <a:t>506</a:t>
          </a:fld>
          <a:endParaRPr lang="en-US" sz="1100"/>
        </a:p>
      </xdr:txBody>
    </xdr:sp>
    <xdr:clientData/>
  </xdr:twoCellAnchor>
  <xdr:twoCellAnchor>
    <xdr:from>
      <xdr:col>1</xdr:col>
      <xdr:colOff>480785</xdr:colOff>
      <xdr:row>3</xdr:row>
      <xdr:rowOff>149893</xdr:rowOff>
    </xdr:from>
    <xdr:to>
      <xdr:col>3</xdr:col>
      <xdr:colOff>290284</xdr:colOff>
      <xdr:row>4</xdr:row>
      <xdr:rowOff>145358</xdr:rowOff>
    </xdr:to>
    <xdr:sp macro="" textlink="">
      <xdr:nvSpPr>
        <xdr:cNvPr id="21" name="TextBox 20">
          <a:extLst>
            <a:ext uri="{FF2B5EF4-FFF2-40B4-BE49-F238E27FC236}">
              <a16:creationId xmlns:a16="http://schemas.microsoft.com/office/drawing/2014/main" id="{5AFD5967-FF8C-4D2B-817B-F23D1B12124E}"/>
            </a:ext>
          </a:extLst>
        </xdr:cNvPr>
        <xdr:cNvSpPr txBox="1"/>
      </xdr:nvSpPr>
      <xdr:spPr>
        <a:xfrm>
          <a:off x="1088571" y="707786"/>
          <a:ext cx="1025070" cy="181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a:latin typeface="Cambria" panose="02040503050406030204" pitchFamily="18" charset="0"/>
              <a:ea typeface="Cambria" panose="02040503050406030204" pitchFamily="18" charset="0"/>
            </a:rPr>
            <a:t>Average</a:t>
          </a:r>
          <a:r>
            <a:rPr lang="en-IN" sz="800" baseline="0">
              <a:latin typeface="Cambria" panose="02040503050406030204" pitchFamily="18" charset="0"/>
              <a:ea typeface="Cambria" panose="02040503050406030204" pitchFamily="18" charset="0"/>
            </a:rPr>
            <a:t> Wait Time</a:t>
          </a:r>
          <a:endParaRPr lang="en-IN" sz="800">
            <a:latin typeface="Cambria" panose="02040503050406030204" pitchFamily="18" charset="0"/>
            <a:ea typeface="Cambria" panose="02040503050406030204" pitchFamily="18" charset="0"/>
          </a:endParaRPr>
        </a:p>
      </xdr:txBody>
    </xdr:sp>
    <xdr:clientData/>
  </xdr:twoCellAnchor>
  <xdr:twoCellAnchor>
    <xdr:from>
      <xdr:col>1</xdr:col>
      <xdr:colOff>467178</xdr:colOff>
      <xdr:row>2</xdr:row>
      <xdr:rowOff>168038</xdr:rowOff>
    </xdr:from>
    <xdr:to>
      <xdr:col>3</xdr:col>
      <xdr:colOff>276679</xdr:colOff>
      <xdr:row>4</xdr:row>
      <xdr:rowOff>27431</xdr:rowOff>
    </xdr:to>
    <xdr:sp macro="" textlink="'Pivot Report 1'!A8">
      <xdr:nvSpPr>
        <xdr:cNvPr id="22" name="TextBox 21">
          <a:extLst>
            <a:ext uri="{FF2B5EF4-FFF2-40B4-BE49-F238E27FC236}">
              <a16:creationId xmlns:a16="http://schemas.microsoft.com/office/drawing/2014/main" id="{689714E4-797C-49D7-9CAE-48DDCC8903AA}"/>
            </a:ext>
          </a:extLst>
        </xdr:cNvPr>
        <xdr:cNvSpPr txBox="1"/>
      </xdr:nvSpPr>
      <xdr:spPr>
        <a:xfrm>
          <a:off x="1074964" y="539967"/>
          <a:ext cx="1025072" cy="231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A728CE3-6CFE-4C14-8097-EE4EC28CF9D3}" type="TxLink">
            <a:rPr lang="en-US" sz="1100" b="0" i="0" u="none" strike="noStrike">
              <a:solidFill>
                <a:srgbClr val="000000"/>
              </a:solidFill>
              <a:latin typeface="Aptos Narrow"/>
            </a:rPr>
            <a:pPr algn="ctr"/>
            <a:t>35.58</a:t>
          </a:fld>
          <a:endParaRPr lang="en-US" sz="1100"/>
        </a:p>
      </xdr:txBody>
    </xdr:sp>
    <xdr:clientData/>
  </xdr:twoCellAnchor>
  <xdr:twoCellAnchor>
    <xdr:from>
      <xdr:col>3</xdr:col>
      <xdr:colOff>253999</xdr:colOff>
      <xdr:row>3</xdr:row>
      <xdr:rowOff>149894</xdr:rowOff>
    </xdr:from>
    <xdr:to>
      <xdr:col>5</xdr:col>
      <xdr:colOff>213177</xdr:colOff>
      <xdr:row>5</xdr:row>
      <xdr:rowOff>113393</xdr:rowOff>
    </xdr:to>
    <xdr:sp macro="" textlink="">
      <xdr:nvSpPr>
        <xdr:cNvPr id="23" name="TextBox 22">
          <a:extLst>
            <a:ext uri="{FF2B5EF4-FFF2-40B4-BE49-F238E27FC236}">
              <a16:creationId xmlns:a16="http://schemas.microsoft.com/office/drawing/2014/main" id="{683B38BB-A08F-4075-8FB7-B5407B3708FF}"/>
            </a:ext>
          </a:extLst>
        </xdr:cNvPr>
        <xdr:cNvSpPr txBox="1"/>
      </xdr:nvSpPr>
      <xdr:spPr>
        <a:xfrm>
          <a:off x="2077356" y="707787"/>
          <a:ext cx="1174750" cy="335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a:latin typeface="Cambria" panose="02040503050406030204" pitchFamily="18" charset="0"/>
              <a:ea typeface="Cambria" panose="02040503050406030204" pitchFamily="18" charset="0"/>
            </a:rPr>
            <a:t>Patient</a:t>
          </a:r>
          <a:r>
            <a:rPr lang="en-IN" sz="800" baseline="0">
              <a:latin typeface="Cambria" panose="02040503050406030204" pitchFamily="18" charset="0"/>
              <a:ea typeface="Cambria" panose="02040503050406030204" pitchFamily="18" charset="0"/>
            </a:rPr>
            <a:t> Satis. Course</a:t>
          </a:r>
        </a:p>
        <a:p>
          <a:pPr algn="ctr"/>
          <a:endParaRPr lang="en-IN" sz="800">
            <a:latin typeface="Cambria" panose="02040503050406030204" pitchFamily="18" charset="0"/>
            <a:ea typeface="Cambria" panose="02040503050406030204" pitchFamily="18" charset="0"/>
          </a:endParaRPr>
        </a:p>
      </xdr:txBody>
    </xdr:sp>
    <xdr:clientData/>
  </xdr:twoCellAnchor>
  <xdr:twoCellAnchor>
    <xdr:from>
      <xdr:col>3</xdr:col>
      <xdr:colOff>290011</xdr:colOff>
      <xdr:row>2</xdr:row>
      <xdr:rowOff>155528</xdr:rowOff>
    </xdr:from>
    <xdr:to>
      <xdr:col>5</xdr:col>
      <xdr:colOff>99511</xdr:colOff>
      <xdr:row>4</xdr:row>
      <xdr:rowOff>14921</xdr:rowOff>
    </xdr:to>
    <xdr:sp macro="" textlink="'Pivot Report 1'!A13">
      <xdr:nvSpPr>
        <xdr:cNvPr id="24" name="TextBox 23">
          <a:extLst>
            <a:ext uri="{FF2B5EF4-FFF2-40B4-BE49-F238E27FC236}">
              <a16:creationId xmlns:a16="http://schemas.microsoft.com/office/drawing/2014/main" id="{47E7BA36-74E6-4EBA-85AA-BD839AA95070}"/>
            </a:ext>
          </a:extLst>
        </xdr:cNvPr>
        <xdr:cNvSpPr txBox="1"/>
      </xdr:nvSpPr>
      <xdr:spPr>
        <a:xfrm>
          <a:off x="2118300" y="522038"/>
          <a:ext cx="1028359" cy="234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8FA53A9-717C-44B1-8B06-45C05C298B0F}" type="TxLink">
            <a:rPr lang="en-US" sz="1100" b="0" i="0" u="none" strike="noStrike">
              <a:solidFill>
                <a:srgbClr val="000000"/>
              </a:solidFill>
              <a:latin typeface="Aptos Narrow"/>
            </a:rPr>
            <a:pPr algn="ctr"/>
            <a:t>5.18</a:t>
          </a:fld>
          <a:endParaRPr lang="en-US" sz="1100"/>
        </a:p>
      </xdr:txBody>
    </xdr:sp>
    <xdr:clientData/>
  </xdr:twoCellAnchor>
  <xdr:twoCellAnchor editAs="oneCell">
    <xdr:from>
      <xdr:col>1</xdr:col>
      <xdr:colOff>208642</xdr:colOff>
      <xdr:row>2</xdr:row>
      <xdr:rowOff>86178</xdr:rowOff>
    </xdr:from>
    <xdr:to>
      <xdr:col>1</xdr:col>
      <xdr:colOff>421821</xdr:colOff>
      <xdr:row>3</xdr:row>
      <xdr:rowOff>113393</xdr:rowOff>
    </xdr:to>
    <xdr:pic>
      <xdr:nvPicPr>
        <xdr:cNvPr id="26" name="Graphic 25" descr="Male profile with solid fill">
          <a:extLst>
            <a:ext uri="{FF2B5EF4-FFF2-40B4-BE49-F238E27FC236}">
              <a16:creationId xmlns:a16="http://schemas.microsoft.com/office/drawing/2014/main" id="{6E35E4FB-D0E5-4D43-795F-0CA1C72B3FC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16428" y="458107"/>
          <a:ext cx="213179" cy="213179"/>
        </a:xfrm>
        <a:prstGeom prst="rect">
          <a:avLst/>
        </a:prstGeom>
      </xdr:spPr>
    </xdr:pic>
    <xdr:clientData/>
  </xdr:twoCellAnchor>
  <xdr:twoCellAnchor editAs="oneCell">
    <xdr:from>
      <xdr:col>3</xdr:col>
      <xdr:colOff>68036</xdr:colOff>
      <xdr:row>2</xdr:row>
      <xdr:rowOff>90713</xdr:rowOff>
    </xdr:from>
    <xdr:to>
      <xdr:col>3</xdr:col>
      <xdr:colOff>267607</xdr:colOff>
      <xdr:row>3</xdr:row>
      <xdr:rowOff>104320</xdr:rowOff>
    </xdr:to>
    <xdr:pic>
      <xdr:nvPicPr>
        <xdr:cNvPr id="30" name="Graphic 29" descr="Stopwatch 75% with solid fill">
          <a:extLst>
            <a:ext uri="{FF2B5EF4-FFF2-40B4-BE49-F238E27FC236}">
              <a16:creationId xmlns:a16="http://schemas.microsoft.com/office/drawing/2014/main" id="{217C0CD4-B6B8-E12D-42ED-2644D677F7E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891393" y="462642"/>
          <a:ext cx="199571" cy="199571"/>
        </a:xfrm>
        <a:prstGeom prst="rect">
          <a:avLst/>
        </a:prstGeom>
      </xdr:spPr>
    </xdr:pic>
    <xdr:clientData/>
  </xdr:twoCellAnchor>
  <xdr:twoCellAnchor editAs="oneCell">
    <xdr:from>
      <xdr:col>4</xdr:col>
      <xdr:colOff>498928</xdr:colOff>
      <xdr:row>2</xdr:row>
      <xdr:rowOff>81642</xdr:rowOff>
    </xdr:from>
    <xdr:to>
      <xdr:col>5</xdr:col>
      <xdr:colOff>108856</xdr:colOff>
      <xdr:row>3</xdr:row>
      <xdr:rowOff>113392</xdr:rowOff>
    </xdr:to>
    <xdr:pic>
      <xdr:nvPicPr>
        <xdr:cNvPr id="32" name="Graphic 31" descr="Rating with solid fill">
          <a:extLst>
            <a:ext uri="{FF2B5EF4-FFF2-40B4-BE49-F238E27FC236}">
              <a16:creationId xmlns:a16="http://schemas.microsoft.com/office/drawing/2014/main" id="{CB720811-569E-873E-E938-A0B937ED499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930071" y="453571"/>
          <a:ext cx="217714" cy="217714"/>
        </a:xfrm>
        <a:prstGeom prst="rect">
          <a:avLst/>
        </a:prstGeom>
      </xdr:spPr>
    </xdr:pic>
    <xdr:clientData/>
  </xdr:twoCellAnchor>
  <xdr:twoCellAnchor>
    <xdr:from>
      <xdr:col>11</xdr:col>
      <xdr:colOff>383557</xdr:colOff>
      <xdr:row>0</xdr:row>
      <xdr:rowOff>60213</xdr:rowOff>
    </xdr:from>
    <xdr:to>
      <xdr:col>12</xdr:col>
      <xdr:colOff>421914</xdr:colOff>
      <xdr:row>13</xdr:row>
      <xdr:rowOff>12785</xdr:rowOff>
    </xdr:to>
    <xdr:sp macro="" textlink="">
      <xdr:nvSpPr>
        <xdr:cNvPr id="34" name="Rectangle: Rounded Corners 33">
          <a:extLst>
            <a:ext uri="{FF2B5EF4-FFF2-40B4-BE49-F238E27FC236}">
              <a16:creationId xmlns:a16="http://schemas.microsoft.com/office/drawing/2014/main" id="{C5A4AB4A-C327-48FB-8BF6-8FF22364AB66}"/>
            </a:ext>
          </a:extLst>
        </xdr:cNvPr>
        <xdr:cNvSpPr/>
      </xdr:nvSpPr>
      <xdr:spPr>
        <a:xfrm>
          <a:off x="7087282" y="60213"/>
          <a:ext cx="647786" cy="2334887"/>
        </a:xfrm>
        <a:prstGeom prst="roundRect">
          <a:avLst>
            <a:gd name="adj" fmla="val 394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379296</xdr:colOff>
      <xdr:row>0</xdr:row>
      <xdr:rowOff>62102</xdr:rowOff>
    </xdr:from>
    <xdr:to>
      <xdr:col>12</xdr:col>
      <xdr:colOff>409129</xdr:colOff>
      <xdr:row>13</xdr:row>
      <xdr:rowOff>1</xdr:rowOff>
    </xdr:to>
    <mc:AlternateContent xmlns:mc="http://schemas.openxmlformats.org/markup-compatibility/2006" xmlns:a14="http://schemas.microsoft.com/office/drawing/2010/main">
      <mc:Choice Requires="a14">
        <xdr:graphicFrame macro="">
          <xdr:nvGraphicFramePr>
            <xdr:cNvPr id="33" name="Date (Month)">
              <a:extLst>
                <a:ext uri="{FF2B5EF4-FFF2-40B4-BE49-F238E27FC236}">
                  <a16:creationId xmlns:a16="http://schemas.microsoft.com/office/drawing/2014/main" id="{A24AD782-A120-415B-8794-D5FEC635DDDF}"/>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7083021" y="62102"/>
              <a:ext cx="639262" cy="23287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63926</xdr:colOff>
      <xdr:row>4</xdr:row>
      <xdr:rowOff>86178</xdr:rowOff>
    </xdr:from>
    <xdr:to>
      <xdr:col>1</xdr:col>
      <xdr:colOff>439963</xdr:colOff>
      <xdr:row>5</xdr:row>
      <xdr:rowOff>145144</xdr:rowOff>
    </xdr:to>
    <xdr:graphicFrame macro="">
      <xdr:nvGraphicFramePr>
        <xdr:cNvPr id="35" name="Chart 34">
          <a:hlinkClick xmlns:r="http://schemas.openxmlformats.org/officeDocument/2006/relationships" r:id="rId8"/>
          <a:extLst>
            <a:ext uri="{FF2B5EF4-FFF2-40B4-BE49-F238E27FC236}">
              <a16:creationId xmlns:a16="http://schemas.microsoft.com/office/drawing/2014/main" id="{A8D671A8-F0E4-4516-BBEB-94D4F4FFAC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511409</xdr:colOff>
      <xdr:row>4</xdr:row>
      <xdr:rowOff>155039</xdr:rowOff>
    </xdr:from>
    <xdr:to>
      <xdr:col>3</xdr:col>
      <xdr:colOff>272143</xdr:colOff>
      <xdr:row>5</xdr:row>
      <xdr:rowOff>132361</xdr:rowOff>
    </xdr:to>
    <xdr:graphicFrame macro="">
      <xdr:nvGraphicFramePr>
        <xdr:cNvPr id="38" name="Chart 37">
          <a:hlinkClick xmlns:r="http://schemas.openxmlformats.org/officeDocument/2006/relationships" r:id="rId10"/>
          <a:extLst>
            <a:ext uri="{FF2B5EF4-FFF2-40B4-BE49-F238E27FC236}">
              <a16:creationId xmlns:a16="http://schemas.microsoft.com/office/drawing/2014/main" id="{93EC55F7-A7F8-4FD9-BF0E-2B20F05F1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340939</xdr:colOff>
      <xdr:row>4</xdr:row>
      <xdr:rowOff>58966</xdr:rowOff>
    </xdr:from>
    <xdr:to>
      <xdr:col>5</xdr:col>
      <xdr:colOff>117930</xdr:colOff>
      <xdr:row>5</xdr:row>
      <xdr:rowOff>122466</xdr:rowOff>
    </xdr:to>
    <xdr:graphicFrame macro="">
      <xdr:nvGraphicFramePr>
        <xdr:cNvPr id="42" name="Chart 41">
          <a:hlinkClick xmlns:r="http://schemas.openxmlformats.org/officeDocument/2006/relationships" r:id="rId12"/>
          <a:extLst>
            <a:ext uri="{FF2B5EF4-FFF2-40B4-BE49-F238E27FC236}">
              <a16:creationId xmlns:a16="http://schemas.microsoft.com/office/drawing/2014/main" id="{FEDD61EF-02DD-4029-8908-2E6E97720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absolute">
        <xdr:from>
          <xdr:col>0</xdr:col>
          <xdr:colOff>55404</xdr:colOff>
          <xdr:row>5</xdr:row>
          <xdr:rowOff>176893</xdr:rowOff>
        </xdr:from>
        <xdr:to>
          <xdr:col>5</xdr:col>
          <xdr:colOff>140608</xdr:colOff>
          <xdr:row>8</xdr:row>
          <xdr:rowOff>58965</xdr:rowOff>
        </xdr:to>
        <xdr:pic>
          <xdr:nvPicPr>
            <xdr:cNvPr id="45" name="Picture 44">
              <a:extLst>
                <a:ext uri="{FF2B5EF4-FFF2-40B4-BE49-F238E27FC236}">
                  <a16:creationId xmlns:a16="http://schemas.microsoft.com/office/drawing/2014/main" id="{66EE7116-387C-0B3C-55A2-F156D04F09F1}"/>
                </a:ext>
              </a:extLst>
            </xdr:cNvPr>
            <xdr:cNvPicPr>
              <a:picLocks noChangeAspect="1" noChangeArrowheads="1"/>
              <a:extLst>
                <a:ext uri="{84589F7E-364E-4C9E-8A38-B11213B215E9}">
                  <a14:cameraTool cellRange="'Pivot Report 1'!$E$13:$H$15" spid="_x0000_s2074"/>
                </a:ext>
              </a:extLst>
            </xdr:cNvPicPr>
          </xdr:nvPicPr>
          <xdr:blipFill>
            <a:blip xmlns:r="http://schemas.openxmlformats.org/officeDocument/2006/relationships" r:embed="rId14"/>
            <a:srcRect/>
            <a:stretch>
              <a:fillRect/>
            </a:stretch>
          </xdr:blipFill>
          <xdr:spPr bwMode="auto">
            <a:xfrm>
              <a:off x="55404" y="1093168"/>
              <a:ext cx="3132352" cy="43183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absolute">
    <xdr:from>
      <xdr:col>0</xdr:col>
      <xdr:colOff>38357</xdr:colOff>
      <xdr:row>8</xdr:row>
      <xdr:rowOff>98022</xdr:rowOff>
    </xdr:from>
    <xdr:to>
      <xdr:col>5</xdr:col>
      <xdr:colOff>46879</xdr:colOff>
      <xdr:row>12</xdr:row>
      <xdr:rowOff>140638</xdr:rowOff>
    </xdr:to>
    <xdr:graphicFrame macro="">
      <xdr:nvGraphicFramePr>
        <xdr:cNvPr id="46" name="Chart 45">
          <a:extLst>
            <a:ext uri="{FF2B5EF4-FFF2-40B4-BE49-F238E27FC236}">
              <a16:creationId xmlns:a16="http://schemas.microsoft.com/office/drawing/2014/main" id="{4D65C6CF-6EC4-4ABB-8666-389AAC24CB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274334</xdr:colOff>
      <xdr:row>11</xdr:row>
      <xdr:rowOff>161369</xdr:rowOff>
    </xdr:from>
    <xdr:to>
      <xdr:col>3</xdr:col>
      <xdr:colOff>460299</xdr:colOff>
      <xdr:row>12</xdr:row>
      <xdr:rowOff>156833</xdr:rowOff>
    </xdr:to>
    <xdr:sp macro="" textlink="">
      <xdr:nvSpPr>
        <xdr:cNvPr id="47" name="TextBox 46">
          <a:extLst>
            <a:ext uri="{FF2B5EF4-FFF2-40B4-BE49-F238E27FC236}">
              <a16:creationId xmlns:a16="http://schemas.microsoft.com/office/drawing/2014/main" id="{F3EE6C5E-0E8F-460A-B9AC-8E0895078AA5}"/>
            </a:ext>
          </a:extLst>
        </xdr:cNvPr>
        <xdr:cNvSpPr txBox="1"/>
      </xdr:nvSpPr>
      <xdr:spPr>
        <a:xfrm>
          <a:off x="883764" y="2177174"/>
          <a:ext cx="1404824" cy="178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700">
              <a:latin typeface="Cambria" panose="02040503050406030204" pitchFamily="18" charset="0"/>
              <a:ea typeface="Cambria" panose="02040503050406030204" pitchFamily="18" charset="0"/>
            </a:rPr>
            <a:t>No.</a:t>
          </a:r>
          <a:r>
            <a:rPr lang="en-IN" sz="700" baseline="0">
              <a:latin typeface="Cambria" panose="02040503050406030204" pitchFamily="18" charset="0"/>
              <a:ea typeface="Cambria" panose="02040503050406030204" pitchFamily="18" charset="0"/>
            </a:rPr>
            <a:t> Of Patient By Age_Group</a:t>
          </a:r>
          <a:endParaRPr lang="en-IN" sz="700">
            <a:latin typeface="Cambria" panose="02040503050406030204" pitchFamily="18" charset="0"/>
            <a:ea typeface="Cambria" panose="02040503050406030204" pitchFamily="18" charset="0"/>
          </a:endParaRPr>
        </a:p>
      </xdr:txBody>
    </xdr:sp>
    <xdr:clientData/>
  </xdr:twoCellAnchor>
  <xdr:twoCellAnchor>
    <xdr:from>
      <xdr:col>5</xdr:col>
      <xdr:colOff>157684</xdr:colOff>
      <xdr:row>0</xdr:row>
      <xdr:rowOff>51140</xdr:rowOff>
    </xdr:from>
    <xdr:to>
      <xdr:col>8</xdr:col>
      <xdr:colOff>38356</xdr:colOff>
      <xdr:row>6</xdr:row>
      <xdr:rowOff>98020</xdr:rowOff>
    </xdr:to>
    <xdr:graphicFrame macro="">
      <xdr:nvGraphicFramePr>
        <xdr:cNvPr id="49" name="Chart 48">
          <a:extLst>
            <a:ext uri="{FF2B5EF4-FFF2-40B4-BE49-F238E27FC236}">
              <a16:creationId xmlns:a16="http://schemas.microsoft.com/office/drawing/2014/main" id="{A19BD711-968A-4742-BBC0-9E4BE1AFC1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8</xdr:col>
      <xdr:colOff>115067</xdr:colOff>
      <xdr:row>2</xdr:row>
      <xdr:rowOff>42618</xdr:rowOff>
    </xdr:from>
    <xdr:to>
      <xdr:col>11</xdr:col>
      <xdr:colOff>306845</xdr:colOff>
      <xdr:row>13</xdr:row>
      <xdr:rowOff>25542</xdr:rowOff>
    </xdr:to>
    <xdr:graphicFrame macro="">
      <xdr:nvGraphicFramePr>
        <xdr:cNvPr id="50" name="Chart 49">
          <a:extLst>
            <a:ext uri="{FF2B5EF4-FFF2-40B4-BE49-F238E27FC236}">
              <a16:creationId xmlns:a16="http://schemas.microsoft.com/office/drawing/2014/main" id="{612DD001-8F97-410A-A946-810B6CC12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8</xdr:col>
      <xdr:colOff>149161</xdr:colOff>
      <xdr:row>0</xdr:row>
      <xdr:rowOff>59664</xdr:rowOff>
    </xdr:from>
    <xdr:to>
      <xdr:col>11</xdr:col>
      <xdr:colOff>277014</xdr:colOff>
      <xdr:row>2</xdr:row>
      <xdr:rowOff>17047</xdr:rowOff>
    </xdr:to>
    <mc:AlternateContent xmlns:mc="http://schemas.openxmlformats.org/markup-compatibility/2006" xmlns:a14="http://schemas.microsoft.com/office/drawing/2010/main">
      <mc:Choice Requires="a14">
        <xdr:graphicFrame macro="">
          <xdr:nvGraphicFramePr>
            <xdr:cNvPr id="51" name="Date (Year)">
              <a:extLst>
                <a:ext uri="{FF2B5EF4-FFF2-40B4-BE49-F238E27FC236}">
                  <a16:creationId xmlns:a16="http://schemas.microsoft.com/office/drawing/2014/main" id="{01F3D42E-7048-4AFD-9EC7-B2ABEDC1ADED}"/>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024597" y="59664"/>
              <a:ext cx="1956142" cy="3238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187514</xdr:colOff>
      <xdr:row>6</xdr:row>
      <xdr:rowOff>140639</xdr:rowOff>
    </xdr:from>
    <xdr:to>
      <xdr:col>8</xdr:col>
      <xdr:colOff>55403</xdr:colOff>
      <xdr:row>13</xdr:row>
      <xdr:rowOff>12786</xdr:rowOff>
    </xdr:to>
    <xdr:sp macro="" textlink="">
      <xdr:nvSpPr>
        <xdr:cNvPr id="6" name="Rectangle: Rounded Corners 5">
          <a:extLst>
            <a:ext uri="{FF2B5EF4-FFF2-40B4-BE49-F238E27FC236}">
              <a16:creationId xmlns:a16="http://schemas.microsoft.com/office/drawing/2014/main" id="{7E44F8BB-8AB7-43CF-BD0E-BCC2C95FAA76}"/>
            </a:ext>
          </a:extLst>
        </xdr:cNvPr>
        <xdr:cNvSpPr/>
      </xdr:nvSpPr>
      <xdr:spPr>
        <a:xfrm>
          <a:off x="3234662" y="1248693"/>
          <a:ext cx="1696177" cy="1154932"/>
        </a:xfrm>
        <a:prstGeom prst="roundRect">
          <a:avLst>
            <a:gd name="adj" fmla="val 560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191777</xdr:colOff>
      <xdr:row>6</xdr:row>
      <xdr:rowOff>140637</xdr:rowOff>
    </xdr:from>
    <xdr:to>
      <xdr:col>8</xdr:col>
      <xdr:colOff>76012</xdr:colOff>
      <xdr:row>12</xdr:row>
      <xdr:rowOff>183254</xdr:rowOff>
    </xdr:to>
    <xdr:graphicFrame macro="">
      <xdr:nvGraphicFramePr>
        <xdr:cNvPr id="48" name="Chart 47">
          <a:extLst>
            <a:ext uri="{FF2B5EF4-FFF2-40B4-BE49-F238E27FC236}">
              <a16:creationId xmlns:a16="http://schemas.microsoft.com/office/drawing/2014/main" id="{0D04D3F2-AA2C-4A7F-9C69-07A879E543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0.09048</cdr:x>
      <cdr:y>0.8079</cdr:y>
    </cdr:from>
    <cdr:to>
      <cdr:x>0.90793</cdr:x>
      <cdr:y>0.98797</cdr:y>
    </cdr:to>
    <cdr:sp macro="" textlink="">
      <cdr:nvSpPr>
        <cdr:cNvPr id="2" name="TextBox 46">
          <a:extLst xmlns:a="http://schemas.openxmlformats.org/drawingml/2006/main">
            <a:ext uri="{FF2B5EF4-FFF2-40B4-BE49-F238E27FC236}">
              <a16:creationId xmlns:a16="http://schemas.microsoft.com/office/drawing/2014/main" id="{6B13A315-8FE2-C1C5-02A3-4B5C951BF4F3}"/>
            </a:ext>
          </a:extLst>
        </cdr:cNvPr>
        <cdr:cNvSpPr txBox="1"/>
      </cdr:nvSpPr>
      <cdr:spPr>
        <a:xfrm xmlns:a="http://schemas.openxmlformats.org/drawingml/2006/main">
          <a:off x="155121" y="835479"/>
          <a:ext cx="1401536" cy="18622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700">
              <a:latin typeface="Cambria" panose="02040503050406030204" pitchFamily="18" charset="0"/>
              <a:ea typeface="Cambria" panose="02040503050406030204" pitchFamily="18" charset="0"/>
            </a:rPr>
            <a:t>Gender Wise Analysis</a:t>
          </a:r>
        </a:p>
        <a:p xmlns:a="http://schemas.openxmlformats.org/drawingml/2006/main">
          <a:pPr algn="ctr"/>
          <a:endParaRPr lang="en-IN" sz="700">
            <a:latin typeface="Cambria" panose="02040503050406030204" pitchFamily="18" charset="0"/>
            <a:ea typeface="Cambria" panose="02040503050406030204" pitchFamily="18"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0.02785</cdr:x>
      <cdr:y>0.87868</cdr:y>
    </cdr:from>
    <cdr:to>
      <cdr:x>0.97215</cdr:x>
      <cdr:y>0.98289</cdr:y>
    </cdr:to>
    <cdr:sp macro="" textlink="">
      <cdr:nvSpPr>
        <cdr:cNvPr id="2" name="TextBox 46">
          <a:extLst xmlns:a="http://schemas.openxmlformats.org/drawingml/2006/main">
            <a:ext uri="{FF2B5EF4-FFF2-40B4-BE49-F238E27FC236}">
              <a16:creationId xmlns:a16="http://schemas.microsoft.com/office/drawing/2014/main" id="{C80BEA08-602A-A0A7-CAA3-5A4E6DBFCB20}"/>
            </a:ext>
          </a:extLst>
        </cdr:cNvPr>
        <cdr:cNvSpPr txBox="1"/>
      </cdr:nvSpPr>
      <cdr:spPr>
        <a:xfrm xmlns:a="http://schemas.openxmlformats.org/drawingml/2006/main">
          <a:off x="49893" y="1570265"/>
          <a:ext cx="1691822" cy="18622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700">
              <a:latin typeface="Cambria" panose="02040503050406030204" pitchFamily="18" charset="0"/>
              <a:ea typeface="Cambria" panose="02040503050406030204" pitchFamily="18" charset="0"/>
            </a:rPr>
            <a:t>No. of Patient By Department Referal</a:t>
          </a:r>
        </a:p>
        <a:p xmlns:a="http://schemas.openxmlformats.org/drawingml/2006/main">
          <a:pPr algn="ctr"/>
          <a:endParaRPr lang="en-IN" sz="700">
            <a:latin typeface="Cambria" panose="02040503050406030204" pitchFamily="18" charset="0"/>
            <a:ea typeface="Cambria" panose="02040503050406030204" pitchFamily="18"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0.1077</cdr:x>
      <cdr:y>0.82379</cdr:y>
    </cdr:from>
    <cdr:to>
      <cdr:x>0.93612</cdr:x>
      <cdr:y>1</cdr:y>
    </cdr:to>
    <cdr:sp macro="" textlink="">
      <cdr:nvSpPr>
        <cdr:cNvPr id="2" name="TextBox 46">
          <a:extLst xmlns:a="http://schemas.openxmlformats.org/drawingml/2006/main">
            <a:ext uri="{FF2B5EF4-FFF2-40B4-BE49-F238E27FC236}">
              <a16:creationId xmlns:a16="http://schemas.microsoft.com/office/drawing/2014/main" id="{F3EE6C5E-0E8F-460A-B9AC-8E0895078AA5}"/>
            </a:ext>
          </a:extLst>
        </cdr:cNvPr>
        <cdr:cNvSpPr txBox="1"/>
      </cdr:nvSpPr>
      <cdr:spPr>
        <a:xfrm xmlns:a="http://schemas.openxmlformats.org/drawingml/2006/main">
          <a:off x="183851" y="938312"/>
          <a:ext cx="1414116" cy="20070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700">
              <a:latin typeface="Cambria" panose="02040503050406030204" pitchFamily="18" charset="0"/>
              <a:ea typeface="Cambria" panose="02040503050406030204" pitchFamily="18" charset="0"/>
            </a:rPr>
            <a:t>Patient</a:t>
          </a:r>
          <a:r>
            <a:rPr lang="en-IN" sz="700" baseline="0">
              <a:latin typeface="Cambria" panose="02040503050406030204" pitchFamily="18" charset="0"/>
              <a:ea typeface="Cambria" panose="02040503050406030204" pitchFamily="18" charset="0"/>
            </a:rPr>
            <a:t> Attended With in Time</a:t>
          </a:r>
          <a:endParaRPr lang="en-IN" sz="700">
            <a:latin typeface="Cambria" panose="02040503050406030204" pitchFamily="18" charset="0"/>
            <a:ea typeface="Cambria" panose="02040503050406030204" pitchFamily="18" charset="0"/>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7</xdr:col>
      <xdr:colOff>25400</xdr:colOff>
      <xdr:row>12</xdr:row>
      <xdr:rowOff>177800</xdr:rowOff>
    </xdr:from>
    <xdr:to>
      <xdr:col>8</xdr:col>
      <xdr:colOff>0</xdr:colOff>
      <xdr:row>15</xdr:row>
      <xdr:rowOff>31750</xdr:rowOff>
    </xdr:to>
    <xdr:graphicFrame macro="">
      <xdr:nvGraphicFramePr>
        <xdr:cNvPr id="2" name="Chart 1">
          <a:extLst>
            <a:ext uri="{FF2B5EF4-FFF2-40B4-BE49-F238E27FC236}">
              <a16:creationId xmlns:a16="http://schemas.microsoft.com/office/drawing/2014/main" id="{AA5BB419-63FF-226B-0F63-7D113D2A29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120650</xdr:colOff>
      <xdr:row>0</xdr:row>
      <xdr:rowOff>158750</xdr:rowOff>
    </xdr:from>
    <xdr:to>
      <xdr:col>16</xdr:col>
      <xdr:colOff>546100</xdr:colOff>
      <xdr:row>15</xdr:row>
      <xdr:rowOff>127000</xdr:rowOff>
    </xdr:to>
    <xdr:graphicFrame macro="">
      <xdr:nvGraphicFramePr>
        <xdr:cNvPr id="2" name="Chart 1">
          <a:extLst>
            <a:ext uri="{FF2B5EF4-FFF2-40B4-BE49-F238E27FC236}">
              <a16:creationId xmlns:a16="http://schemas.microsoft.com/office/drawing/2014/main" id="{D0C080B1-9678-4947-A3BB-CE88FA0BD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558800</xdr:colOff>
      <xdr:row>16</xdr:row>
      <xdr:rowOff>0</xdr:rowOff>
    </xdr:from>
    <xdr:ext cx="7956550" cy="264560"/>
    <xdr:sp macro="" textlink="">
      <xdr:nvSpPr>
        <xdr:cNvPr id="3" name="TextBox 2">
          <a:extLst>
            <a:ext uri="{FF2B5EF4-FFF2-40B4-BE49-F238E27FC236}">
              <a16:creationId xmlns:a16="http://schemas.microsoft.com/office/drawing/2014/main" id="{8ADBA490-081E-E9BE-B133-9D50D4A2F53D}"/>
            </a:ext>
          </a:extLst>
        </xdr:cNvPr>
        <xdr:cNvSpPr txBox="1"/>
      </xdr:nvSpPr>
      <xdr:spPr>
        <a:xfrm>
          <a:off x="2387600" y="2946400"/>
          <a:ext cx="79565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Showing</a:t>
          </a:r>
          <a:r>
            <a:rPr lang="en-IN" sz="1100" baseline="0"/>
            <a:t> a Daily trend with an area sparkline to spot patterns like busy Days or Seasonal trends</a:t>
          </a:r>
          <a:endParaRPr lang="en-IN" sz="1100"/>
        </a:p>
      </xdr:txBody>
    </xdr:sp>
    <xdr:clientData/>
  </xdr:oneCellAnchor>
</xdr:wsDr>
</file>

<file path=xl/drawings/drawing7.xml><?xml version="1.0" encoding="utf-8"?>
<c:userShapes xmlns:c="http://schemas.openxmlformats.org/drawingml/2006/chart">
  <cdr:relSizeAnchor xmlns:cdr="http://schemas.openxmlformats.org/drawingml/2006/chartDrawing">
    <cdr:from>
      <cdr:x>0.00176</cdr:x>
      <cdr:y>0</cdr:y>
    </cdr:from>
    <cdr:to>
      <cdr:x>0.02989</cdr:x>
      <cdr:y>0.11163</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CBBA5119-1370-3C0A-99AB-56338771C8C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9050" y="0"/>
          <a:ext cx="304800" cy="304800"/>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xdr:from>
      <xdr:col>1</xdr:col>
      <xdr:colOff>127000</xdr:colOff>
      <xdr:row>1</xdr:row>
      <xdr:rowOff>69850</xdr:rowOff>
    </xdr:from>
    <xdr:to>
      <xdr:col>17</xdr:col>
      <xdr:colOff>457200</xdr:colOff>
      <xdr:row>17</xdr:row>
      <xdr:rowOff>12700</xdr:rowOff>
    </xdr:to>
    <xdr:graphicFrame macro="">
      <xdr:nvGraphicFramePr>
        <xdr:cNvPr id="2" name="Chart 1">
          <a:extLst>
            <a:ext uri="{FF2B5EF4-FFF2-40B4-BE49-F238E27FC236}">
              <a16:creationId xmlns:a16="http://schemas.microsoft.com/office/drawing/2014/main" id="{A9535AEF-35A1-46EA-BE83-AFA4090887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xdr:col>
      <xdr:colOff>469900</xdr:colOff>
      <xdr:row>16</xdr:row>
      <xdr:rowOff>177800</xdr:rowOff>
    </xdr:from>
    <xdr:ext cx="6902450" cy="264560"/>
    <xdr:sp macro="" textlink="">
      <xdr:nvSpPr>
        <xdr:cNvPr id="3" name="TextBox 2">
          <a:extLst>
            <a:ext uri="{FF2B5EF4-FFF2-40B4-BE49-F238E27FC236}">
              <a16:creationId xmlns:a16="http://schemas.microsoft.com/office/drawing/2014/main" id="{B47EE7BB-6F8A-68FD-69D0-78075C0F1436}"/>
            </a:ext>
          </a:extLst>
        </xdr:cNvPr>
        <xdr:cNvSpPr txBox="1"/>
      </xdr:nvSpPr>
      <xdr:spPr>
        <a:xfrm>
          <a:off x="2298700" y="3124200"/>
          <a:ext cx="690245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Use an Area chart  to track daily changes and</a:t>
          </a:r>
          <a:r>
            <a:rPr lang="en-IN" sz="1100" baseline="0"/>
            <a:t> highlight days with longer wait times that might need improvements</a:t>
          </a:r>
          <a:endParaRPr lang="en-IN" sz="1100"/>
        </a:p>
      </xdr:txBody>
    </xdr:sp>
    <xdr:clientData/>
  </xdr:oneCellAnchor>
</xdr:wsDr>
</file>

<file path=xl/drawings/drawing9.xml><?xml version="1.0" encoding="utf-8"?>
<c:userShapes xmlns:c="http://schemas.openxmlformats.org/drawingml/2006/chart">
  <cdr:relSizeAnchor xmlns:cdr="http://schemas.openxmlformats.org/drawingml/2006/chartDrawing">
    <cdr:from>
      <cdr:x>0.00693</cdr:x>
      <cdr:y>0.01319</cdr:y>
    </cdr:from>
    <cdr:to>
      <cdr:x>0.04282</cdr:x>
      <cdr:y>0.13846</cdr:y>
    </cdr:to>
    <cdr:pic>
      <cdr:nvPicPr>
        <cdr:cNvPr id="4"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E5503C4C-ED40-282A-B191-01B8044A5CC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69850" y="38100"/>
          <a:ext cx="361950" cy="361950"/>
        </a:xfrm>
        <a:prstGeom xmlns:a="http://schemas.openxmlformats.org/drawingml/2006/main" prst="rect">
          <a:avLst/>
        </a:prstGeom>
      </cdr:spPr>
    </cdr:pic>
  </cdr:relSizeAnchor>
</c:userShapes>
</file>

<file path=xl/drawings/drawing10.xml><?xml version="1.0" encoding="utf-8"?>
<xdr:wsDr xmlns:xdr="http://schemas.openxmlformats.org/drawingml/2006/spreadsheetDrawing" xmlns:a="http://schemas.openxmlformats.org/drawingml/2006/main">
  <xdr:oneCellAnchor>
    <xdr:from>
      <xdr:col>6</xdr:col>
      <xdr:colOff>323850</xdr:colOff>
      <xdr:row>17</xdr:row>
      <xdr:rowOff>31750</xdr:rowOff>
    </xdr:from>
    <xdr:ext cx="3644900" cy="264560"/>
    <xdr:sp macro="" textlink="">
      <xdr:nvSpPr>
        <xdr:cNvPr id="3" name="TextBox 2">
          <a:extLst>
            <a:ext uri="{FF2B5EF4-FFF2-40B4-BE49-F238E27FC236}">
              <a16:creationId xmlns:a16="http://schemas.microsoft.com/office/drawing/2014/main" id="{0CCA3A50-6BC2-4BDD-8E54-C836C112D2F8}"/>
            </a:ext>
          </a:extLst>
        </xdr:cNvPr>
        <xdr:cNvSpPr txBox="1"/>
      </xdr:nvSpPr>
      <xdr:spPr>
        <a:xfrm>
          <a:off x="3981450" y="3162300"/>
          <a:ext cx="36449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Use and Area chart to show trends,spot</a:t>
          </a:r>
          <a:r>
            <a:rPr lang="en-IN" sz="1100" baseline="0"/>
            <a:t> drops in satisfaction </a:t>
          </a:r>
          <a:endParaRPr lang="en-IN" sz="1100"/>
        </a:p>
      </xdr:txBody>
    </xdr:sp>
    <xdr:clientData/>
  </xdr:oneCellAnchor>
  <xdr:twoCellAnchor>
    <xdr:from>
      <xdr:col>2</xdr:col>
      <xdr:colOff>76200</xdr:colOff>
      <xdr:row>1</xdr:row>
      <xdr:rowOff>133350</xdr:rowOff>
    </xdr:from>
    <xdr:to>
      <xdr:col>16</xdr:col>
      <xdr:colOff>368300</xdr:colOff>
      <xdr:row>17</xdr:row>
      <xdr:rowOff>19050</xdr:rowOff>
    </xdr:to>
    <xdr:graphicFrame macro="">
      <xdr:nvGraphicFramePr>
        <xdr:cNvPr id="5" name="Chart 4">
          <a:extLst>
            <a:ext uri="{FF2B5EF4-FFF2-40B4-BE49-F238E27FC236}">
              <a16:creationId xmlns:a16="http://schemas.microsoft.com/office/drawing/2014/main" id="{E367B956-8462-4F5B-AA14-5BF867D4DE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0.00576</cdr:x>
      <cdr:y>0.00897</cdr:y>
    </cdr:from>
    <cdr:to>
      <cdr:x>0.04748</cdr:x>
      <cdr:y>0.13901</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2CD0020-5D45-4A2F-C143-305132D3A74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25400"/>
          <a:ext cx="368300" cy="36830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ja" refreshedDate="46081.66590104167" createdVersion="5" refreshedVersion="8" minRefreshableVersion="3" recordCount="0" supportSubquery="1" supportAdvancedDrill="1" xr:uid="{95AEC770-8F15-4695-9E39-2F9D76FEAC26}">
  <cacheSource type="external" connectionId="3"/>
  <cacheFields count="4">
    <cacheField name="[Measures].[Count of Patient Id]" caption="Count of Patient Id" numFmtId="0" hierarchy="24" level="32767"/>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ja" refreshedDate="46081.665901388886" createdVersion="5" refreshedVersion="8" minRefreshableVersion="3" recordCount="0" supportSubquery="1" supportAdvancedDrill="1" xr:uid="{ADA7C6B6-BEC9-4B4F-971B-BF2952FC7114}">
  <cacheSource type="external" connectionId="3"/>
  <cacheFields count="3">
    <cacheField name="[Measures].[Distinct Count of Patient Id]" caption="Distinct Count of Patient Id" numFmtId="0" hierarchy="25"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ja" refreshedDate="46081.665901504632" createdVersion="5" refreshedVersion="8" minRefreshableVersion="3" recordCount="0" supportSubquery="1" supportAdvancedDrill="1" xr:uid="{0EE75B4F-C5DA-4C00-AA3C-7D741C00F2D4}">
  <cacheSource type="external" connectionId="3"/>
  <cacheFields count="3">
    <cacheField name="[Measures].[Average of Patient Waittime]" caption="Average of Patient Waittime" numFmtId="0" hierarchy="27"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ja" refreshedDate="46081.66590162037" createdVersion="5" refreshedVersion="8" minRefreshableVersion="3" recordCount="0" supportSubquery="1" supportAdvancedDrill="1" xr:uid="{510EC7D2-A2A4-4A75-9ED4-8EFEDCDA0E50}">
  <cacheSource type="external" connectionId="3"/>
  <cacheFields count="3">
    <cacheField name="[Measures].[Average of Patient Satisfaction Score]" caption="Average of Patient Satisfaction Score" numFmtId="0" hierarchy="29"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ja" refreshedDate="46081.665901851855" createdVersion="5" refreshedVersion="8" minRefreshableVersion="3" recordCount="0" supportSubquery="1" supportAdvancedDrill="1" xr:uid="{8A30194A-A649-45F6-AD55-57FA034D7E23}">
  <cacheSource type="external" connectionId="3"/>
  <cacheFields count="4">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ja" refreshedDate="46081.66590266204" createdVersion="5" refreshedVersion="8" minRefreshableVersion="3" recordCount="0" supportSubquery="1" supportAdvancedDrill="1" xr:uid="{34962DE6-B580-489F-A704-10144D934000}">
  <cacheSource type="external" connectionId="3"/>
  <cacheFields count="4">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ja" refreshedDate="46081.665903125002" createdVersion="5" refreshedVersion="8" minRefreshableVersion="3" recordCount="0" supportSubquery="1" supportAdvancedDrill="1" xr:uid="{767EEB27-2F2C-41F7-967F-E2A6279E6711}">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4" level="1">
      <sharedItems count="2">
        <s v="Admitted"/>
        <s v="Not Admitted"/>
      </sharedItems>
    </cacheField>
    <cacheField name="[Measures].[Count of Patient Admission Flag]" caption="Count of Patient Admission Flag" numFmtId="0" hierarchy="30" level="32767"/>
    <cacheField name="[Calende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ja" refreshedDate="46081.665903587964" createdVersion="5" refreshedVersion="8" minRefreshableVersion="3" recordCount="0" supportSubquery="1" supportAdvancedDrill="1" xr:uid="{F3E38CB1-ED22-49F3-97C1-D95CACAB1585}">
  <cacheSource type="external" connectionId="3"/>
  <cacheFields count="4">
    <cacheField name="[Calender_Table].[Date].[Date]" caption="Date" numFmtId="0" level="1">
      <sharedItems containsSemiMixedTypes="0" containsNonDate="0" containsDate="1" containsString="0" minDate="2023-01-01T00:00:00" maxDate="2025-01-01T00:00:00" count="731">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er_Table].[Date (Month)].[Date (Month)]" caption="Date (Month)" numFmtId="0" hierarchy="1" level="1">
      <sharedItems count="12">
        <s v="Jan"/>
        <s v="Feb"/>
        <s v="Mar"/>
        <s v="Apr"/>
        <s v="May"/>
        <s v="Jun"/>
        <s v="Jul"/>
        <s v="Aug"/>
        <s v="Sep"/>
        <s v="Oct"/>
        <s v="Nov"/>
        <s v="Dec"/>
      </sharedItems>
    </cacheField>
    <cacheField name="[Calender_Table].[Date (Quarter)].[Date (Quarter)]" caption="Date (Quarter)" numFmtId="0" hierarchy="4" level="1">
      <sharedItems count="4">
        <s v="Qtr1"/>
        <s v="Qtr2"/>
        <s v="Qtr3"/>
        <s v="Qtr4"/>
      </sharedItems>
    </cacheField>
    <cacheField name="[Calender_Table].[Date (Year)].[Date (Year)]" caption="Date (Year)" numFmtId="0" hierarchy="3" level="1">
      <sharedItems count="1">
        <s v="2023"/>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0"/>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2"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2"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2"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ja" refreshedDate="46081.66590428241" createdVersion="5" refreshedVersion="8" minRefreshableVersion="3" recordCount="0" supportSubquery="1" supportAdvancedDrill="1" xr:uid="{C61C9877-4DB3-480A-B5B1-71E635E98CB4}">
  <cacheSource type="external" connectionId="3"/>
  <cacheFields count="4">
    <cacheField name="[Hospital Emergency Room Data].[Patient Gender].[Patient Gender]" caption="Patient Gender" numFmtId="0" hierarchy="10" level="1">
      <sharedItems count="2">
        <s v="Female"/>
        <s v="Male"/>
      </sharedItems>
    </cacheField>
    <cacheField name="[Measures].[Count of Patient Gender]" caption="Count of Patient Gender" numFmtId="0" hierarchy="33" level="32767"/>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0"/>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ja" refreshedDate="46081.665904745372" createdVersion="5" refreshedVersion="8" minRefreshableVersion="3" recordCount="0" supportSubquery="1" supportAdvancedDrill="1" xr:uid="{34E2C3C8-57DE-4246-88F6-8CB0471C1428}">
  <cacheSource type="external" connectionId="3"/>
  <cacheFields count="4">
    <cacheField name="[Hospital Emergency Room Data].[Department Referral].[Department Referral]" caption="Department Referral" numFmtId="0" hierarchy="13"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0"/>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ja" refreshedDate="46081.665905671296" createdVersion="5" refreshedVersion="8" minRefreshableVersion="3" recordCount="0" supportSubquery="1" supportAdvancedDrill="1" xr:uid="{CA1856A9-13FB-4CCA-A919-C06E047A8288}">
  <cacheSource type="external" connectionId="3"/>
  <cacheFields count="4">
    <cacheField name="[Hospital Emergency Room Data].[Age-Group].[Age-Group]" caption="Age-Group" numFmtId="0" hierarchy="17" level="1">
      <sharedItems count="8">
        <s v="0-9"/>
        <s v="10-19"/>
        <s v="20-29"/>
        <s v="30-39"/>
        <s v="40-49"/>
        <s v="50-59"/>
        <s v="60-69"/>
        <s v="70-79"/>
      </sharedItems>
    </cacheField>
    <cacheField name="[Measures].[Count of Age-Group]" caption="Count of Age-Group" numFmtId="0" hierarchy="31" level="32767"/>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2" memberValueDatatype="130" unbalanced="0">
      <fieldsUsage count="2">
        <fieldUsage x="-1"/>
        <fieldUsage x="0"/>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Group]" caption="Count of Age-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ja" refreshedDate="46081.665906365743" createdVersion="5" refreshedVersion="8" minRefreshableVersion="3" recordCount="0" supportSubquery="1" supportAdvancedDrill="1" xr:uid="{EB067A83-4CF1-4262-A771-17B3C7E90565}">
  <cacheSource type="external" connectionId="3"/>
  <cacheFields count="4">
    <cacheField name="[Hospital Emergency Room Data].[Patient attend Status].[Patient attend Status]" caption="Patient attend Status" numFmtId="0" hierarchy="18" level="1">
      <sharedItems count="2">
        <s v="Delay"/>
        <s v="On-Time"/>
      </sharedItems>
    </cacheField>
    <cacheField name="[Measures].[Count of Patient attend Status]" caption="Count of Patient attend Status" numFmtId="0" hierarchy="32" level="32767"/>
    <cacheField name="[Calender_Table].[Date (Year)].[Date (Year)]" caption="Date (Year)" numFmtId="0" hierarchy="3" level="1">
      <sharedItems containsSemiMixedTypes="0" containsNonDate="0" containsString="0"/>
    </cacheField>
    <cacheField name="[Calender_Table].[Date (Month)].[Date (Month)]" caption="Date (Month)" numFmtId="0" hierarchy="1"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3"/>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0"/>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tuja" refreshedDate="46080.63672696759" createdVersion="3" refreshedVersion="8" minRefreshableVersion="3" recordCount="0" supportSubquery="1" supportAdvancedDrill="1" xr:uid="{62683EB1-158E-4DE5-80F3-B28C9A0F0BD2}">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Date]" caption="Date" attribute="1" time="1" defaultMemberUniqueName="[Hospital Emergency Room Data].[Date].[All]" allUniqueName="[Hospital Emergency Room Data].[Date].[All]" dimensionUniqueName="[Hospital Emergency Room Data]" displayFolder="" count="0" memberValueDatatype="7" unbalanced="0"/>
    <cacheHierarchy uniqueName="[Hospital Emergency Room Data].[Time]" caption="Time" attribute="1" time="1" defaultMemberUniqueName="[Hospital Emergency Room Data].[Time].[All]" allUniqueName="[Hospital Emergency Room Data].[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Group]" caption="Age-Group" attribute="1" defaultMemberUniqueName="[Hospital Emergency Room Data].[Age-Group].[All]" allUniqueName="[Hospital Emergency Room Data].[Age-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Group]" caption="Count of Age-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0307251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E72A9F-52F0-4FE6-8C0E-16894055BF9B}" name="PivotTable1" cacheId="1" applyNumberFormats="0" applyBorderFormats="0" applyFontFormats="0" applyPatternFormats="0" applyAlignmentFormats="0" applyWidthHeightFormats="1" dataCaption="Values" tag="550bf953-8435-4a45-8859-f711abbabff9" updatedVersion="8" minRefreshableVersion="3" subtotalHiddenItems="1" itemPrintTitles="1" createdVersion="5"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FE5A01-2388-4097-92B8-3B617F9E2B13}" name="PivotTable8" cacheId="6" applyNumberFormats="0" applyBorderFormats="0" applyFontFormats="0" applyPatternFormats="0" applyAlignmentFormats="0" applyWidthHeightFormats="1" dataCaption="Values" tag="139fd47d-ce6f-4400-b9ec-1a1c1ba524c5" updatedVersion="8" minRefreshableVersion="3" subtotalHiddenItems="1" itemPrintTitles="1" createdVersion="5" indent="0" outline="1" outlineData="1" multipleFieldFilters="0" chartFormat="7">
  <location ref="E4:G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4">
    <format dxfId="5">
      <pivotArea outline="0" collapsedLevelsAreSubtotals="1" fieldPosition="0"/>
    </format>
    <format dxfId="4">
      <pivotArea collapsedLevelsAreSubtotals="1" fieldPosition="0">
        <references count="2">
          <reference field="4294967294" count="1" selected="0">
            <x v="0"/>
          </reference>
          <reference field="1" count="0"/>
        </references>
      </pivotArea>
    </format>
    <format dxfId="3">
      <pivotArea collapsedLevelsAreSubtotals="1" fieldPosition="0">
        <references count="2">
          <reference field="4294967294" count="1" selected="0">
            <x v="1"/>
          </reference>
          <reference field="1" count="0"/>
        </references>
      </pivotArea>
    </format>
    <format dxfId="2">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5A1D22-DB3C-488C-84BB-D206614EB924}" name="PivotTable3" cacheId="3" applyNumberFormats="0" applyBorderFormats="0" applyFontFormats="0" applyPatternFormats="0" applyAlignmentFormats="0" applyWidthHeightFormats="1" dataCaption="Values" tag="4d567100-05f4-4d2c-ac92-6790492140e2"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6">
      <pivotArea outline="0" collapsedLevelsAreSubtotals="1" fieldPosition="0"/>
    </format>
  </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C03FBB-B232-48EA-85A5-981BAB169519}" name="PivotTable2" cacheId="2" applyNumberFormats="0" applyBorderFormats="0" applyFontFormats="0" applyPatternFormats="0" applyAlignmentFormats="0" applyWidthHeightFormats="1" dataCaption="Values" tag="869be853-04ac-4519-adef-8a9a1bc917a7" updatedVersion="8" minRefreshableVersion="3" subtotalHiddenItems="1" itemPrintTitles="1" createdVersion="5" indent="0" outline="1" outlineData="1" multipleFieldFilters="0">
  <location ref="A7:A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7">
      <pivotArea outline="0" collapsedLevelsAreSubtotals="1" fieldPosition="0"/>
    </format>
  </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8B711D-9C34-411D-A025-9A46EAF813F4}" name="PivotTable13" cacheId="7" applyNumberFormats="0" applyBorderFormats="0" applyFontFormats="0" applyPatternFormats="0" applyAlignmentFormats="0" applyWidthHeightFormats="1" dataCaption="Values" tag="d674a7a4-d905-4acf-b284-b35cd07dceb0" updatedVersion="8" minRefreshableVersion="3" useAutoFormatting="1" subtotalHiddenItems="1" itemPrintTitles="1" createdVersion="5" indent="0" outline="1" outlineData="1" multipleFieldFilters="0">
  <location ref="B39:B41" firstHeaderRow="1" firstDataRow="1" firstDataCol="1"/>
  <pivotFields count="4">
    <pivotField axis="axisRow" allDrilled="1" subtotalTop="0" showAll="0" dataSourceSort="1" defaultSubtotal="0" defaultAttributeDrillState="1">
      <items count="7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s>
    </pivotField>
    <pivotField axis="axisRow" allDrilled="1" subtotalTop="0" showAll="0" dataSourceSort="1" defaultSubtotal="0">
      <items count="12">
        <item x="0" e="0"/>
        <item x="1" e="0"/>
        <item x="2" e="0"/>
        <item x="3" e="0"/>
        <item x="4" e="0"/>
        <item s="1"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
        <item s="1" x="0" e="0"/>
      </items>
    </pivotField>
  </pivotFields>
  <rowFields count="4">
    <field x="3"/>
    <field x="2"/>
    <field x="1"/>
    <field x="0"/>
  </rowFields>
  <rowItems count="2">
    <i>
      <x/>
    </i>
    <i t="grand">
      <x/>
    </i>
  </rowItem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CCF102-7244-4306-8960-E0320439182C}" name="PivotTable7" cacheId="5" applyNumberFormats="0" applyBorderFormats="0" applyFontFormats="0" applyPatternFormats="0" applyAlignmentFormats="0" applyWidthHeightFormats="1" dataCaption="Values" tag="b7c2559f-42c4-4d13-9bd0-64dc5e6381a8" updatedVersion="8" minRefreshableVersion="3" useAutoFormatting="1" subtotalHiddenItems="1" itemPrintTitles="1" createdVersion="5" indent="0" outline="1" outlineData="1" multipleFieldFilters="0" chartFormat="51">
  <location ref="J3:K34"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0">
      <pivotArea outline="0" collapsedLevelsAreSubtotals="1" fieldPosition="0"/>
    </format>
  </formats>
  <chartFormats count="2">
    <chartFormat chart="45" format="2" series="1">
      <pivotArea type="data" outline="0" fieldPosition="0">
        <references count="1">
          <reference field="4294967294" count="1" selected="0">
            <x v="0"/>
          </reference>
        </references>
      </pivotArea>
    </chartFormat>
    <chartFormat chart="49"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CF266C-4256-4A40-89F1-42F7B3528118}" name="PivotTable6" cacheId="4" applyNumberFormats="0" applyBorderFormats="0" applyFontFormats="0" applyPatternFormats="0" applyAlignmentFormats="0" applyWidthHeightFormats="1" dataCaption="Values" tag="f9674553-7bc3-49f7-afe8-03fce7de2a43" updatedVersion="8" minRefreshableVersion="3" useAutoFormatting="1" subtotalHiddenItems="1" itemPrintTitles="1" createdVersion="5" indent="0" outline="1" outlineData="1" multipleFieldFilters="0" chartFormat="33">
  <location ref="F3:G34"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1">
      <pivotArea outline="0" collapsedLevelsAreSubtotals="1" fieldPosition="0"/>
    </format>
  </formats>
  <chartFormats count="2">
    <chartFormat chart="23"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5F76FA-5EB5-43E2-A01C-CA0F711BB34F}" name="PivotTable5" cacheId="0" applyNumberFormats="0" applyBorderFormats="0" applyFontFormats="0" applyPatternFormats="0" applyAlignmentFormats="0" applyWidthHeightFormats="1" dataCaption="Values" tag="6b3843a8-9edd-437c-b7a4-4e4eeb6b3174" updatedVersion="8" minRefreshableVersion="3" useAutoFormatting="1" subtotalHiddenItems="1" itemPrintTitles="1" createdVersion="5" indent="0" outline="1" outlineData="1" multipleFieldFilters="0" chartFormat="20">
  <location ref="B3:C34"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Patient Id" fld="0" subtotal="count"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38B98A-4282-413F-B685-8FEF5B96FD19}" name="PivotTable9" cacheId="10" applyNumberFormats="0" applyBorderFormats="0" applyFontFormats="0" applyPatternFormats="0" applyAlignmentFormats="0" applyWidthHeightFormats="1" dataCaption="Values" tag="10b05f2f-3595-43ca-95cf-25ee18d74df2" updatedVersion="8" minRefreshableVersion="3" useAutoFormatting="1" subtotalHiddenItems="1" itemPrintTitles="1" createdVersion="5" indent="0" outline="1" outlineData="1" multipleFieldFilters="0" chartFormat="4">
  <location ref="B3:C12" firstHeaderRow="1"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Age-Group"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59A05D9-FB5B-43C0-8E5A-6E46F60C58C1}" name="PivotTable10" cacheId="11" applyNumberFormats="0" applyBorderFormats="0" applyFontFormats="0" applyPatternFormats="0" applyAlignmentFormats="0" applyWidthHeightFormats="1" dataCaption="Values" tag="589cf86e-9e72-42af-8e38-e263b2f9a83c" updatedVersion="8" minRefreshableVersion="3" useAutoFormatting="1" subtotalHiddenItems="1" itemPrintTitles="1" createdVersion="5" indent="0" outline="1" outlineData="1" multipleFieldFilters="0" chartFormat="7">
  <location ref="B3:C6"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attend Status" fld="1"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973C186-DB47-4FD7-BB0C-5616A240EE7F}" name="PivotTable11" cacheId="8" applyNumberFormats="0" applyBorderFormats="0" applyFontFormats="0" applyPatternFormats="0" applyAlignmentFormats="0" applyWidthHeightFormats="1" dataCaption="Values" tag="40fe4f21-79d4-4a5d-86a9-8e37da314994" updatedVersion="8" minRefreshableVersion="3" useAutoFormatting="1" subtotalHiddenItems="1" itemPrintTitles="1" createdVersion="5" indent="0" outline="1" outlineData="1" multipleFieldFilters="0" chartFormat="5">
  <location ref="B3:C6"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Patient Gender" fld="1"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5098E9E-A786-4853-B248-4C65665E82C9}" name="PivotTable12" cacheId="9" applyNumberFormats="0" applyBorderFormats="0" applyFontFormats="0" applyPatternFormats="0" applyAlignmentFormats="0" applyWidthHeightFormats="1" dataCaption="Values" tag="072542be-17ec-435c-8379-d195301514ca" updatedVersion="8" minRefreshableVersion="3" useAutoFormatting="1" subtotalHiddenItems="1" itemPrintTitles="1" createdVersion="5" indent="0" outline="1" outlineData="1" multipleFieldFilters="0" chartFormat="8">
  <location ref="B3:C12" firstHeaderRow="1" firstDataRow="1" firstDataCol="1"/>
  <pivotFields count="4">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v="7"/>
    </i>
    <i>
      <x v="1"/>
    </i>
    <i>
      <x/>
    </i>
    <i>
      <x v="3"/>
    </i>
    <i>
      <x v="6"/>
    </i>
    <i>
      <x v="5"/>
    </i>
    <i>
      <x v="2"/>
    </i>
    <i>
      <x v="4"/>
    </i>
    <i t="grand">
      <x/>
    </i>
  </rowItems>
  <colItems count="1">
    <i/>
  </colItems>
  <dataFields count="1">
    <dataField name="Count of Department Referral" fld="1" subtotal="count" baseField="0"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4"/>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CF2AF84-D6C0-4FC6-80C8-D6CCE41A0E2C}" sourceName="[Calender_Table].[Date (Month)]">
  <pivotTables>
    <pivotTable tabId="4" name="PivotTable5"/>
    <pivotTable tabId="1" name="PivotTable1"/>
    <pivotTable tabId="1" name="PivotTable2"/>
    <pivotTable tabId="1" name="PivotTable3"/>
    <pivotTable tabId="4" name="PivotTable6"/>
    <pivotTable tabId="4" name="PivotTable7"/>
    <pivotTable tabId="1" name="PivotTable8"/>
    <pivotTable tabId="4" name="PivotTable13"/>
    <pivotTable tabId="11" name="PivotTable11"/>
    <pivotTable tabId="12" name="PivotTable12"/>
    <pivotTable tabId="9" name="PivotTable9"/>
    <pivotTable tabId="10" name="PivotTable10"/>
  </pivotTables>
  <data>
    <olap pivotCacheId="1030725128">
      <levels count="2">
        <level uniqueName="[Calender_Table].[Date (Month)].[(All)]" sourceCaption="(All)" count="0"/>
        <level uniqueName="[Calender_Table].[Date (Month)].[Date (Month)]" sourceCaption="Date (Month)" count="12">
          <ranges>
            <range startItem="0">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i n="[Calender_Table].[Date (Month)].&amp;[Jan]" c="Jan"/>
              <i n="[Calender_Table].[Date (Month)].&amp;[Feb]" c="Feb"/>
              <i n="[Calender_Table].[Date (Month)].&amp;[Mar]" c="Mar"/>
            </range>
          </ranges>
        </level>
      </levels>
      <selections count="1">
        <selection n="[Calende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76CF358-5744-4CF3-B457-7250149D284F}" sourceName="[Calender_Table].[Date (Year)]">
  <pivotTables>
    <pivotTable tabId="4" name="PivotTable13"/>
    <pivotTable tabId="4" name="PivotTable5"/>
    <pivotTable tabId="4" name="PivotTable6"/>
    <pivotTable tabId="4" name="PivotTable7"/>
    <pivotTable tabId="1" name="PivotTable1"/>
    <pivotTable tabId="1" name="PivotTable2"/>
    <pivotTable tabId="1" name="PivotTable3"/>
    <pivotTable tabId="1" name="PivotTable8"/>
    <pivotTable tabId="11" name="PivotTable11"/>
    <pivotTable tabId="12" name="PivotTable12"/>
    <pivotTable tabId="9" name="PivotTable9"/>
    <pivotTable tabId="10" name="PivotTable10"/>
  </pivotTables>
  <data>
    <olap pivotCacheId="1030725128">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C30BAA8-847C-41B7-B39A-CDCA3A4ECD0B}" cache="Slicer_Date__Month" caption="Date (Month)" showCaption="0" level="1" style="My sliecer" rowHeight="147600"/>
  <slicer name="Date (Year)" xr10:uid="{DD9F70EE-596A-4663-9266-9257D2EE119A}" cache="Slicer_Date__Year" caption="Date (Year)" columnCount="2" showCaption="0" level="1" style="My sliecer" rowHeight="14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F4BC8-B951-4289-AF61-4C342A04ACA6}">
  <dimension ref="A1:M14"/>
  <sheetViews>
    <sheetView tabSelected="1" zoomScale="139" zoomScaleNormal="140" workbookViewId="0"/>
  </sheetViews>
  <sheetFormatPr defaultRowHeight="14.5" x14ac:dyDescent="0.35"/>
  <sheetData>
    <row r="1" spans="1:13" x14ac:dyDescent="0.35">
      <c r="A1" s="3"/>
      <c r="B1" s="3"/>
      <c r="C1" s="3"/>
      <c r="D1" s="3"/>
      <c r="E1" s="3"/>
      <c r="F1" s="3"/>
      <c r="G1" s="3"/>
      <c r="H1" s="4"/>
      <c r="I1" s="3"/>
      <c r="J1" s="3"/>
      <c r="K1" s="3"/>
      <c r="L1" s="3"/>
      <c r="M1" s="3"/>
    </row>
    <row r="2" spans="1:13" x14ac:dyDescent="0.35">
      <c r="A2" s="3"/>
      <c r="B2" s="3"/>
      <c r="C2" s="3"/>
      <c r="D2" s="3"/>
      <c r="E2" s="3"/>
      <c r="F2" s="3"/>
      <c r="G2" s="3"/>
      <c r="H2" s="3"/>
      <c r="I2" s="3"/>
      <c r="J2" s="3"/>
      <c r="K2" s="3"/>
      <c r="L2" s="3"/>
      <c r="M2" s="3"/>
    </row>
    <row r="3" spans="1:13" x14ac:dyDescent="0.35">
      <c r="A3" s="3"/>
      <c r="B3" s="3"/>
      <c r="C3" s="3"/>
      <c r="D3" s="3"/>
      <c r="E3" s="3"/>
      <c r="F3" s="3"/>
      <c r="G3" s="3"/>
      <c r="H3" s="3"/>
      <c r="I3" s="3"/>
      <c r="J3" s="3"/>
      <c r="K3" s="3"/>
      <c r="L3" s="3"/>
      <c r="M3" s="3"/>
    </row>
    <row r="4" spans="1:13" ht="15" customHeight="1" x14ac:dyDescent="0.35">
      <c r="A4" s="3"/>
      <c r="B4" s="3"/>
      <c r="C4" s="3"/>
      <c r="D4" s="3"/>
      <c r="E4" s="3"/>
      <c r="F4" s="3"/>
      <c r="G4" s="3"/>
      <c r="H4" s="3"/>
      <c r="I4" s="3"/>
      <c r="J4" s="3"/>
      <c r="K4" s="3"/>
      <c r="L4" s="3"/>
      <c r="M4" s="3"/>
    </row>
    <row r="5" spans="1:13" x14ac:dyDescent="0.35">
      <c r="A5" s="3"/>
      <c r="B5" s="3"/>
      <c r="C5" s="3"/>
      <c r="D5" s="3"/>
      <c r="E5" s="3"/>
      <c r="F5" s="3"/>
      <c r="G5" s="3"/>
      <c r="H5" s="3"/>
      <c r="I5" s="3"/>
      <c r="J5" s="3"/>
      <c r="K5" s="3"/>
      <c r="L5" s="3"/>
      <c r="M5" s="3"/>
    </row>
    <row r="6" spans="1:13" x14ac:dyDescent="0.35">
      <c r="A6" s="3"/>
      <c r="B6" s="3"/>
      <c r="C6" s="3"/>
      <c r="D6" s="3"/>
      <c r="E6" s="3"/>
      <c r="F6" s="3"/>
      <c r="G6" s="3"/>
      <c r="H6" s="3"/>
      <c r="I6" s="3"/>
      <c r="J6" s="3"/>
      <c r="K6" s="3"/>
      <c r="L6" s="3"/>
      <c r="M6" s="3"/>
    </row>
    <row r="7" spans="1:13" x14ac:dyDescent="0.35">
      <c r="A7" s="3"/>
      <c r="B7" s="3"/>
      <c r="C7" s="3"/>
      <c r="D7" s="3"/>
      <c r="E7" s="3"/>
      <c r="F7" s="3"/>
      <c r="G7" s="3"/>
      <c r="H7" s="3"/>
      <c r="I7" s="3"/>
      <c r="J7" s="3"/>
      <c r="K7" s="3"/>
      <c r="L7" s="3"/>
      <c r="M7" s="3"/>
    </row>
    <row r="8" spans="1:13" x14ac:dyDescent="0.35">
      <c r="A8" s="3"/>
      <c r="B8" s="3"/>
      <c r="C8" s="3"/>
      <c r="D8" s="3"/>
      <c r="E8" s="3"/>
      <c r="F8" s="3"/>
      <c r="G8" s="3"/>
      <c r="H8" s="3"/>
      <c r="I8" s="3"/>
      <c r="J8" s="3"/>
      <c r="K8" s="3"/>
      <c r="L8" s="3"/>
      <c r="M8" s="3"/>
    </row>
    <row r="9" spans="1:13" x14ac:dyDescent="0.35">
      <c r="A9" s="3"/>
      <c r="B9" s="3"/>
      <c r="C9" s="3"/>
      <c r="D9" s="3"/>
      <c r="E9" s="3"/>
      <c r="F9" s="3"/>
      <c r="G9" s="3"/>
      <c r="H9" s="3"/>
      <c r="I9" s="3"/>
      <c r="J9" s="3"/>
      <c r="K9" s="3"/>
      <c r="L9" s="3"/>
      <c r="M9" s="3"/>
    </row>
    <row r="10" spans="1:13" x14ac:dyDescent="0.35">
      <c r="A10" s="3"/>
      <c r="B10" s="3"/>
      <c r="C10" s="3"/>
      <c r="D10" s="3"/>
      <c r="E10" s="3"/>
      <c r="F10" s="3"/>
      <c r="G10" s="3"/>
      <c r="H10" s="3"/>
      <c r="I10" s="3"/>
      <c r="J10" s="3"/>
      <c r="K10" s="3"/>
      <c r="L10" s="3"/>
      <c r="M10" s="3"/>
    </row>
    <row r="11" spans="1:13" x14ac:dyDescent="0.35">
      <c r="A11" s="3"/>
      <c r="B11" s="3"/>
      <c r="C11" s="3"/>
      <c r="D11" s="3"/>
      <c r="E11" s="3"/>
      <c r="F11" s="3"/>
      <c r="G11" s="3"/>
      <c r="H11" s="3"/>
      <c r="I11" s="3"/>
      <c r="J11" s="3"/>
      <c r="K11" s="3"/>
      <c r="L11" s="3"/>
      <c r="M11" s="3"/>
    </row>
    <row r="12" spans="1:13" x14ac:dyDescent="0.35">
      <c r="A12" s="3"/>
      <c r="B12" s="3"/>
      <c r="C12" s="3"/>
      <c r="D12" s="3"/>
      <c r="E12" s="3"/>
      <c r="F12" s="3"/>
      <c r="G12" s="3"/>
      <c r="H12" s="3"/>
      <c r="I12" s="3"/>
      <c r="J12" s="3"/>
      <c r="K12" s="3"/>
      <c r="L12" s="3"/>
      <c r="M12" s="3"/>
    </row>
    <row r="13" spans="1:13" x14ac:dyDescent="0.35">
      <c r="A13" s="3"/>
      <c r="B13" s="3"/>
      <c r="C13" s="3"/>
      <c r="D13" s="3"/>
      <c r="E13" s="3"/>
      <c r="F13" s="3"/>
      <c r="G13" s="3"/>
      <c r="H13" s="3"/>
      <c r="I13" s="3"/>
      <c r="J13" s="3"/>
      <c r="K13" s="3"/>
      <c r="L13" s="3"/>
      <c r="M13" s="3"/>
    </row>
    <row r="14" spans="1:13" x14ac:dyDescent="0.35">
      <c r="A14" s="3"/>
      <c r="B14" s="3"/>
      <c r="C14" s="3"/>
      <c r="D14" s="3"/>
      <c r="E14" s="3"/>
      <c r="F14" s="3"/>
      <c r="G14" s="3"/>
      <c r="H14" s="3"/>
      <c r="I14" s="3"/>
      <c r="J14" s="3"/>
      <c r="K14" s="3"/>
      <c r="L14" s="3"/>
      <c r="M14"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7AC54-5BC6-4AF2-AEF7-C5E9B5FAE6EE}">
  <dimension ref="A1:H15"/>
  <sheetViews>
    <sheetView topLeftCell="A2" workbookViewId="0">
      <selection activeCell="E12" sqref="E12"/>
    </sheetView>
  </sheetViews>
  <sheetFormatPr defaultRowHeight="14.5" x14ac:dyDescent="0.35"/>
  <cols>
    <col min="1" max="1" width="23.54296875" bestFit="1" customWidth="1"/>
    <col min="5" max="5" width="16.26953125" customWidth="1"/>
    <col min="6" max="6" width="15.6328125" customWidth="1"/>
    <col min="7" max="7" width="9.453125" customWidth="1"/>
    <col min="8" max="8" width="11.36328125" customWidth="1"/>
  </cols>
  <sheetData>
    <row r="1" spans="1:8" x14ac:dyDescent="0.35">
      <c r="A1" t="s">
        <v>1</v>
      </c>
    </row>
    <row r="2" spans="1:8" x14ac:dyDescent="0.35">
      <c r="A2">
        <v>506</v>
      </c>
    </row>
    <row r="4" spans="1:8" x14ac:dyDescent="0.35">
      <c r="E4" s="1" t="s">
        <v>4</v>
      </c>
      <c r="F4" t="s">
        <v>12</v>
      </c>
      <c r="G4" t="s">
        <v>13</v>
      </c>
    </row>
    <row r="5" spans="1:8" x14ac:dyDescent="0.35">
      <c r="E5" s="5" t="s">
        <v>10</v>
      </c>
      <c r="F5" s="7">
        <v>252</v>
      </c>
      <c r="G5" s="8">
        <v>0.49802371541501977</v>
      </c>
    </row>
    <row r="6" spans="1:8" x14ac:dyDescent="0.35">
      <c r="E6" s="5" t="s">
        <v>11</v>
      </c>
      <c r="F6" s="7">
        <v>254</v>
      </c>
      <c r="G6" s="8">
        <v>0.50197628458498023</v>
      </c>
    </row>
    <row r="7" spans="1:8" x14ac:dyDescent="0.35">
      <c r="A7" t="s">
        <v>2</v>
      </c>
      <c r="E7" s="5" t="s">
        <v>5</v>
      </c>
      <c r="F7" s="2">
        <v>506</v>
      </c>
      <c r="G7" s="8">
        <v>1</v>
      </c>
    </row>
    <row r="8" spans="1:8" x14ac:dyDescent="0.35">
      <c r="A8" s="2">
        <v>35.581027667984188</v>
      </c>
    </row>
    <row r="11" spans="1:8" x14ac:dyDescent="0.35">
      <c r="E11" t="s">
        <v>72</v>
      </c>
    </row>
    <row r="12" spans="1:8" x14ac:dyDescent="0.35">
      <c r="A12" t="s">
        <v>3</v>
      </c>
    </row>
    <row r="13" spans="1:8" x14ac:dyDescent="0.35">
      <c r="A13" s="2">
        <v>5.1818181818181817</v>
      </c>
      <c r="E13" s="13" t="s">
        <v>14</v>
      </c>
      <c r="F13" s="13" t="s">
        <v>15</v>
      </c>
      <c r="G13" s="13" t="s">
        <v>16</v>
      </c>
      <c r="H13" s="10"/>
    </row>
    <row r="14" spans="1:8" x14ac:dyDescent="0.35">
      <c r="E14" s="11" t="str">
        <f>E6</f>
        <v>Not Admitted</v>
      </c>
      <c r="F14" s="11">
        <f>F6</f>
        <v>254</v>
      </c>
      <c r="G14" s="12">
        <f>G6</f>
        <v>0.50197628458498023</v>
      </c>
      <c r="H14" s="9"/>
    </row>
    <row r="15" spans="1:8" x14ac:dyDescent="0.35">
      <c r="E15" s="11" t="str">
        <f>E5</f>
        <v>Admitted</v>
      </c>
      <c r="F15" s="11">
        <f>F5</f>
        <v>252</v>
      </c>
      <c r="G15" s="12">
        <f>G5</f>
        <v>0.49802371541501977</v>
      </c>
      <c r="H15" s="9"/>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503CD-FDB9-414E-9EE3-79855256D274}">
  <dimension ref="B2:K41"/>
  <sheetViews>
    <sheetView topLeftCell="A14" workbookViewId="0"/>
  </sheetViews>
  <sheetFormatPr defaultRowHeight="14.5" x14ac:dyDescent="0.35"/>
  <cols>
    <col min="2" max="2" width="12.453125" bestFit="1" customWidth="1"/>
    <col min="3" max="3" width="16.36328125" bestFit="1" customWidth="1"/>
    <col min="6" max="6" width="12.453125" bestFit="1" customWidth="1"/>
    <col min="7" max="7" width="24" bestFit="1" customWidth="1"/>
    <col min="10" max="10" width="12.453125" bestFit="1" customWidth="1"/>
    <col min="11" max="11" width="31.7265625" bestFit="1" customWidth="1"/>
  </cols>
  <sheetData>
    <row r="2" spans="2:11" x14ac:dyDescent="0.35">
      <c r="B2" t="s">
        <v>6</v>
      </c>
      <c r="F2" t="s">
        <v>7</v>
      </c>
      <c r="J2" t="s">
        <v>9</v>
      </c>
    </row>
    <row r="3" spans="2:11" x14ac:dyDescent="0.35">
      <c r="B3" s="1" t="s">
        <v>4</v>
      </c>
      <c r="C3" t="s">
        <v>0</v>
      </c>
      <c r="F3" s="1" t="s">
        <v>4</v>
      </c>
      <c r="G3" t="s">
        <v>2</v>
      </c>
      <c r="J3" s="1" t="s">
        <v>4</v>
      </c>
      <c r="K3" t="s">
        <v>3</v>
      </c>
    </row>
    <row r="4" spans="2:11" x14ac:dyDescent="0.35">
      <c r="B4" s="5" t="s">
        <v>41</v>
      </c>
      <c r="C4">
        <v>26</v>
      </c>
      <c r="F4" s="5" t="s">
        <v>41</v>
      </c>
      <c r="G4" s="2">
        <v>34.884615384615387</v>
      </c>
      <c r="J4" s="5" t="s">
        <v>41</v>
      </c>
      <c r="K4" s="2">
        <v>4.8</v>
      </c>
    </row>
    <row r="5" spans="2:11" x14ac:dyDescent="0.35">
      <c r="B5" s="5" t="s">
        <v>42</v>
      </c>
      <c r="C5">
        <v>17</v>
      </c>
      <c r="F5" s="5" t="s">
        <v>42</v>
      </c>
      <c r="G5" s="2">
        <v>34.941176470588232</v>
      </c>
      <c r="J5" s="5" t="s">
        <v>42</v>
      </c>
      <c r="K5" s="2">
        <v>5.333333333333333</v>
      </c>
    </row>
    <row r="6" spans="2:11" x14ac:dyDescent="0.35">
      <c r="B6" s="5" t="s">
        <v>43</v>
      </c>
      <c r="C6">
        <v>19</v>
      </c>
      <c r="F6" s="5" t="s">
        <v>43</v>
      </c>
      <c r="G6" s="2">
        <v>32.736842105263158</v>
      </c>
      <c r="I6" t="s">
        <v>8</v>
      </c>
      <c r="J6" s="5" t="s">
        <v>43</v>
      </c>
      <c r="K6" s="2">
        <v>6.666666666666667</v>
      </c>
    </row>
    <row r="7" spans="2:11" x14ac:dyDescent="0.35">
      <c r="B7" s="5" t="s">
        <v>44</v>
      </c>
      <c r="C7">
        <v>17</v>
      </c>
      <c r="F7" s="5" t="s">
        <v>44</v>
      </c>
      <c r="G7" s="2">
        <v>34.411764705882355</v>
      </c>
      <c r="J7" s="5" t="s">
        <v>44</v>
      </c>
      <c r="K7" s="2">
        <v>4.5555555555555554</v>
      </c>
    </row>
    <row r="8" spans="2:11" x14ac:dyDescent="0.35">
      <c r="B8" s="5" t="s">
        <v>45</v>
      </c>
      <c r="C8">
        <v>18</v>
      </c>
      <c r="F8" s="5" t="s">
        <v>45</v>
      </c>
      <c r="G8" s="2">
        <v>34.388888888888886</v>
      </c>
      <c r="J8" s="5" t="s">
        <v>45</v>
      </c>
      <c r="K8" s="2">
        <v>4.333333333333333</v>
      </c>
    </row>
    <row r="9" spans="2:11" x14ac:dyDescent="0.35">
      <c r="B9" s="5" t="s">
        <v>46</v>
      </c>
      <c r="C9">
        <v>17</v>
      </c>
      <c r="F9" s="5" t="s">
        <v>46</v>
      </c>
      <c r="G9" s="2">
        <v>33.294117647058826</v>
      </c>
      <c r="J9" s="5" t="s">
        <v>46</v>
      </c>
      <c r="K9" s="2">
        <v>7.333333333333333</v>
      </c>
    </row>
    <row r="10" spans="2:11" x14ac:dyDescent="0.35">
      <c r="B10" s="5" t="s">
        <v>47</v>
      </c>
      <c r="C10">
        <v>17</v>
      </c>
      <c r="F10" s="5" t="s">
        <v>47</v>
      </c>
      <c r="G10" s="2">
        <v>35</v>
      </c>
      <c r="J10" s="5" t="s">
        <v>47</v>
      </c>
      <c r="K10" s="2">
        <v>5.25</v>
      </c>
    </row>
    <row r="11" spans="2:11" x14ac:dyDescent="0.35">
      <c r="B11" s="5" t="s">
        <v>48</v>
      </c>
      <c r="C11">
        <v>19</v>
      </c>
      <c r="F11" s="5" t="s">
        <v>48</v>
      </c>
      <c r="G11" s="2">
        <v>36.736842105263158</v>
      </c>
      <c r="J11" s="5" t="s">
        <v>48</v>
      </c>
      <c r="K11" s="2">
        <v>6.333333333333333</v>
      </c>
    </row>
    <row r="12" spans="2:11" x14ac:dyDescent="0.35">
      <c r="B12" s="5" t="s">
        <v>49</v>
      </c>
      <c r="C12">
        <v>19</v>
      </c>
      <c r="F12" s="5" t="s">
        <v>49</v>
      </c>
      <c r="G12" s="2">
        <v>37.368421052631582</v>
      </c>
      <c r="J12" s="5" t="s">
        <v>49</v>
      </c>
      <c r="K12" s="2">
        <v>5.7142857142857144</v>
      </c>
    </row>
    <row r="13" spans="2:11" x14ac:dyDescent="0.35">
      <c r="B13" s="5" t="s">
        <v>50</v>
      </c>
      <c r="C13">
        <v>14</v>
      </c>
      <c r="F13" s="5" t="s">
        <v>50</v>
      </c>
      <c r="G13" s="2">
        <v>31.428571428571427</v>
      </c>
      <c r="J13" s="5" t="s">
        <v>50</v>
      </c>
      <c r="K13" s="2">
        <v>5</v>
      </c>
    </row>
    <row r="14" spans="2:11" x14ac:dyDescent="0.35">
      <c r="B14" s="5" t="s">
        <v>51</v>
      </c>
      <c r="C14">
        <v>17</v>
      </c>
      <c r="F14" s="5" t="s">
        <v>51</v>
      </c>
      <c r="G14" s="2">
        <v>45.470588235294116</v>
      </c>
      <c r="J14" s="5" t="s">
        <v>51</v>
      </c>
      <c r="K14" s="2">
        <v>6.166666666666667</v>
      </c>
    </row>
    <row r="15" spans="2:11" x14ac:dyDescent="0.35">
      <c r="B15" s="5" t="s">
        <v>52</v>
      </c>
      <c r="C15">
        <v>20</v>
      </c>
      <c r="F15" s="5" t="s">
        <v>52</v>
      </c>
      <c r="G15" s="2">
        <v>32.549999999999997</v>
      </c>
      <c r="J15" s="5" t="s">
        <v>52</v>
      </c>
      <c r="K15" s="2">
        <v>3</v>
      </c>
    </row>
    <row r="16" spans="2:11" x14ac:dyDescent="0.35">
      <c r="B16" s="5" t="s">
        <v>53</v>
      </c>
      <c r="C16">
        <v>13</v>
      </c>
      <c r="F16" s="5" t="s">
        <v>53</v>
      </c>
      <c r="G16" s="2">
        <v>39.615384615384613</v>
      </c>
      <c r="J16" s="5" t="s">
        <v>53</v>
      </c>
      <c r="K16" s="2">
        <v>4.5</v>
      </c>
    </row>
    <row r="17" spans="2:11" x14ac:dyDescent="0.35">
      <c r="B17" s="5" t="s">
        <v>54</v>
      </c>
      <c r="C17">
        <v>14</v>
      </c>
      <c r="F17" s="5" t="s">
        <v>54</v>
      </c>
      <c r="G17" s="2">
        <v>36</v>
      </c>
      <c r="J17" s="5" t="s">
        <v>54</v>
      </c>
      <c r="K17" s="2">
        <v>4.666666666666667</v>
      </c>
    </row>
    <row r="18" spans="2:11" x14ac:dyDescent="0.35">
      <c r="B18" s="5" t="s">
        <v>55</v>
      </c>
      <c r="C18">
        <v>15</v>
      </c>
      <c r="F18" s="5" t="s">
        <v>55</v>
      </c>
      <c r="G18" s="2">
        <v>31.6</v>
      </c>
      <c r="J18" s="5" t="s">
        <v>55</v>
      </c>
      <c r="K18" s="2">
        <v>9</v>
      </c>
    </row>
    <row r="19" spans="2:11" x14ac:dyDescent="0.35">
      <c r="B19" s="5" t="s">
        <v>56</v>
      </c>
      <c r="C19">
        <v>13</v>
      </c>
      <c r="F19" s="5" t="s">
        <v>56</v>
      </c>
      <c r="G19" s="2">
        <v>33.846153846153847</v>
      </c>
      <c r="J19" s="5" t="s">
        <v>56</v>
      </c>
      <c r="K19" s="2">
        <v>1.5</v>
      </c>
    </row>
    <row r="20" spans="2:11" x14ac:dyDescent="0.35">
      <c r="B20" s="5" t="s">
        <v>57</v>
      </c>
      <c r="C20">
        <v>15</v>
      </c>
      <c r="F20" s="5" t="s">
        <v>57</v>
      </c>
      <c r="G20" s="2">
        <v>31.8</v>
      </c>
      <c r="J20" s="5" t="s">
        <v>57</v>
      </c>
      <c r="K20" s="2">
        <v>6.8</v>
      </c>
    </row>
    <row r="21" spans="2:11" x14ac:dyDescent="0.35">
      <c r="B21" s="5" t="s">
        <v>58</v>
      </c>
      <c r="C21">
        <v>17</v>
      </c>
      <c r="F21" s="5" t="s">
        <v>58</v>
      </c>
      <c r="G21" s="2">
        <v>36</v>
      </c>
      <c r="J21" s="5" t="s">
        <v>58</v>
      </c>
      <c r="K21" s="2">
        <v>4.625</v>
      </c>
    </row>
    <row r="22" spans="2:11" x14ac:dyDescent="0.35">
      <c r="B22" s="5" t="s">
        <v>59</v>
      </c>
      <c r="C22">
        <v>10</v>
      </c>
      <c r="F22" s="5" t="s">
        <v>59</v>
      </c>
      <c r="G22" s="2">
        <v>29.8</v>
      </c>
      <c r="J22" s="5" t="s">
        <v>59</v>
      </c>
      <c r="K22" s="2">
        <v>4.333333333333333</v>
      </c>
    </row>
    <row r="23" spans="2:11" x14ac:dyDescent="0.35">
      <c r="B23" s="5" t="s">
        <v>60</v>
      </c>
      <c r="C23">
        <v>13</v>
      </c>
      <c r="F23" s="5" t="s">
        <v>60</v>
      </c>
      <c r="G23" s="2">
        <v>41.307692307692307</v>
      </c>
      <c r="J23" s="5" t="s">
        <v>60</v>
      </c>
      <c r="K23" s="2">
        <v>1.3333333333333333</v>
      </c>
    </row>
    <row r="24" spans="2:11" x14ac:dyDescent="0.35">
      <c r="B24" s="5" t="s">
        <v>61</v>
      </c>
      <c r="C24">
        <v>17</v>
      </c>
      <c r="F24" s="5" t="s">
        <v>61</v>
      </c>
      <c r="G24" s="2">
        <v>29.764705882352942</v>
      </c>
      <c r="J24" s="5" t="s">
        <v>61</v>
      </c>
      <c r="K24" s="2">
        <v>5</v>
      </c>
    </row>
    <row r="25" spans="2:11" x14ac:dyDescent="0.35">
      <c r="B25" s="5" t="s">
        <v>62</v>
      </c>
      <c r="C25">
        <v>26</v>
      </c>
      <c r="F25" s="5" t="s">
        <v>62</v>
      </c>
      <c r="G25" s="2">
        <v>37.92307692307692</v>
      </c>
      <c r="J25" s="5" t="s">
        <v>62</v>
      </c>
      <c r="K25" s="2">
        <v>3.1666666666666665</v>
      </c>
    </row>
    <row r="26" spans="2:11" x14ac:dyDescent="0.35">
      <c r="B26" s="5" t="s">
        <v>63</v>
      </c>
      <c r="C26">
        <v>8</v>
      </c>
      <c r="F26" s="5" t="s">
        <v>63</v>
      </c>
      <c r="G26" s="2">
        <v>38.625</v>
      </c>
      <c r="J26" s="5" t="s">
        <v>63</v>
      </c>
      <c r="K26" s="2">
        <v>7.5</v>
      </c>
    </row>
    <row r="27" spans="2:11" x14ac:dyDescent="0.35">
      <c r="B27" s="5" t="s">
        <v>64</v>
      </c>
      <c r="C27">
        <v>17</v>
      </c>
      <c r="F27" s="5" t="s">
        <v>64</v>
      </c>
      <c r="G27" s="2">
        <v>41.470588235294116</v>
      </c>
      <c r="J27" s="5" t="s">
        <v>64</v>
      </c>
      <c r="K27" s="2">
        <v>4.2</v>
      </c>
    </row>
    <row r="28" spans="2:11" x14ac:dyDescent="0.35">
      <c r="B28" s="5" t="s">
        <v>65</v>
      </c>
      <c r="C28">
        <v>18</v>
      </c>
      <c r="F28" s="5" t="s">
        <v>65</v>
      </c>
      <c r="G28" s="2">
        <v>39.5</v>
      </c>
      <c r="J28" s="5" t="s">
        <v>65</v>
      </c>
      <c r="K28" s="2">
        <v>4.625</v>
      </c>
    </row>
    <row r="29" spans="2:11" x14ac:dyDescent="0.35">
      <c r="B29" s="5" t="s">
        <v>66</v>
      </c>
      <c r="C29">
        <v>19</v>
      </c>
      <c r="F29" s="5" t="s">
        <v>66</v>
      </c>
      <c r="G29" s="2">
        <v>29.736842105263158</v>
      </c>
      <c r="J29" s="5" t="s">
        <v>66</v>
      </c>
      <c r="K29" s="2">
        <v>9.6666666666666661</v>
      </c>
    </row>
    <row r="30" spans="2:11" x14ac:dyDescent="0.35">
      <c r="B30" s="5" t="s">
        <v>67</v>
      </c>
      <c r="C30">
        <v>20</v>
      </c>
      <c r="F30" s="5" t="s">
        <v>67</v>
      </c>
      <c r="G30" s="2">
        <v>37.75</v>
      </c>
      <c r="J30" s="5" t="s">
        <v>67</v>
      </c>
      <c r="K30" s="2">
        <v>6.125</v>
      </c>
    </row>
    <row r="31" spans="2:11" x14ac:dyDescent="0.35">
      <c r="B31" s="5" t="s">
        <v>68</v>
      </c>
      <c r="C31">
        <v>23</v>
      </c>
      <c r="F31" s="5" t="s">
        <v>68</v>
      </c>
      <c r="G31" s="2">
        <v>37.782608695652172</v>
      </c>
      <c r="J31" s="5" t="s">
        <v>68</v>
      </c>
      <c r="K31" s="2">
        <v>5.5555555555555554</v>
      </c>
    </row>
    <row r="32" spans="2:11" x14ac:dyDescent="0.35">
      <c r="B32" s="5" t="s">
        <v>69</v>
      </c>
      <c r="C32">
        <v>16</v>
      </c>
      <c r="F32" s="5" t="s">
        <v>69</v>
      </c>
      <c r="G32" s="2">
        <v>34.1875</v>
      </c>
      <c r="J32" s="5" t="s">
        <v>69</v>
      </c>
      <c r="K32" s="2">
        <v>6.333333333333333</v>
      </c>
    </row>
    <row r="33" spans="2:11" x14ac:dyDescent="0.35">
      <c r="B33" s="5" t="s">
        <v>70</v>
      </c>
      <c r="C33">
        <v>12</v>
      </c>
      <c r="F33" s="5" t="s">
        <v>70</v>
      </c>
      <c r="G33" s="2">
        <v>36.166666666666664</v>
      </c>
      <c r="J33" s="5" t="s">
        <v>70</v>
      </c>
      <c r="K33" s="2">
        <v>5.333333333333333</v>
      </c>
    </row>
    <row r="34" spans="2:11" x14ac:dyDescent="0.35">
      <c r="B34" s="5" t="s">
        <v>5</v>
      </c>
      <c r="C34">
        <v>506</v>
      </c>
      <c r="F34" s="5" t="s">
        <v>5</v>
      </c>
      <c r="G34" s="2">
        <v>35.581027667984188</v>
      </c>
      <c r="J34" s="5" t="s">
        <v>5</v>
      </c>
      <c r="K34" s="2">
        <v>5.1818181818181817</v>
      </c>
    </row>
    <row r="39" spans="2:11" x14ac:dyDescent="0.35">
      <c r="B39" s="1" t="s">
        <v>4</v>
      </c>
    </row>
    <row r="40" spans="2:11" x14ac:dyDescent="0.35">
      <c r="B40" s="5" t="s">
        <v>71</v>
      </c>
    </row>
    <row r="41" spans="2:11" x14ac:dyDescent="0.35">
      <c r="B41" s="5" t="s">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7B388-3D81-4FBF-BD98-41E51D01ED3C}">
  <dimension ref="B3:C12"/>
  <sheetViews>
    <sheetView workbookViewId="0">
      <selection activeCell="C4" sqref="C4"/>
    </sheetView>
  </sheetViews>
  <sheetFormatPr defaultRowHeight="14.5" x14ac:dyDescent="0.35"/>
  <cols>
    <col min="2" max="2" width="12.453125" bestFit="1" customWidth="1"/>
    <col min="3" max="3" width="17.1796875" bestFit="1" customWidth="1"/>
  </cols>
  <sheetData>
    <row r="3" spans="2:3" x14ac:dyDescent="0.35">
      <c r="B3" s="1" t="s">
        <v>4</v>
      </c>
      <c r="C3" t="s">
        <v>25</v>
      </c>
    </row>
    <row r="4" spans="2:3" x14ac:dyDescent="0.35">
      <c r="B4" s="5" t="s">
        <v>17</v>
      </c>
      <c r="C4">
        <v>54</v>
      </c>
    </row>
    <row r="5" spans="2:3" x14ac:dyDescent="0.35">
      <c r="B5" s="5" t="s">
        <v>18</v>
      </c>
      <c r="C5">
        <v>72</v>
      </c>
    </row>
    <row r="6" spans="2:3" x14ac:dyDescent="0.35">
      <c r="B6" s="5" t="s">
        <v>19</v>
      </c>
      <c r="C6">
        <v>75</v>
      </c>
    </row>
    <row r="7" spans="2:3" x14ac:dyDescent="0.35">
      <c r="B7" s="5" t="s">
        <v>20</v>
      </c>
      <c r="C7">
        <v>62</v>
      </c>
    </row>
    <row r="8" spans="2:3" x14ac:dyDescent="0.35">
      <c r="B8" s="5" t="s">
        <v>21</v>
      </c>
      <c r="C8">
        <v>63</v>
      </c>
    </row>
    <row r="9" spans="2:3" x14ac:dyDescent="0.35">
      <c r="B9" s="5" t="s">
        <v>22</v>
      </c>
      <c r="C9">
        <v>49</v>
      </c>
    </row>
    <row r="10" spans="2:3" x14ac:dyDescent="0.35">
      <c r="B10" s="5" t="s">
        <v>23</v>
      </c>
      <c r="C10">
        <v>74</v>
      </c>
    </row>
    <row r="11" spans="2:3" x14ac:dyDescent="0.35">
      <c r="B11" s="5" t="s">
        <v>24</v>
      </c>
      <c r="C11">
        <v>57</v>
      </c>
    </row>
    <row r="12" spans="2:3" x14ac:dyDescent="0.35">
      <c r="B12" s="5" t="s">
        <v>5</v>
      </c>
      <c r="C12">
        <v>506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59BB4-154D-43A2-89B7-6BB6C1FA9983}">
  <dimension ref="B3:C6"/>
  <sheetViews>
    <sheetView workbookViewId="0">
      <selection activeCell="C4" sqref="C4"/>
    </sheetView>
  </sheetViews>
  <sheetFormatPr defaultRowHeight="14.5" x14ac:dyDescent="0.35"/>
  <cols>
    <col min="2" max="2" width="12.453125" bestFit="1" customWidth="1"/>
    <col min="3" max="3" width="26.1796875" bestFit="1" customWidth="1"/>
  </cols>
  <sheetData>
    <row r="3" spans="2:3" x14ac:dyDescent="0.35">
      <c r="B3" s="1" t="s">
        <v>4</v>
      </c>
      <c r="C3" t="s">
        <v>28</v>
      </c>
    </row>
    <row r="4" spans="2:3" x14ac:dyDescent="0.35">
      <c r="B4" s="5" t="s">
        <v>27</v>
      </c>
      <c r="C4">
        <v>311</v>
      </c>
    </row>
    <row r="5" spans="2:3" x14ac:dyDescent="0.35">
      <c r="B5" s="5" t="s">
        <v>26</v>
      </c>
      <c r="C5">
        <v>195</v>
      </c>
    </row>
    <row r="6" spans="2:3" x14ac:dyDescent="0.35">
      <c r="B6" s="5" t="s">
        <v>5</v>
      </c>
      <c r="C6">
        <v>506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CBEBC-0075-483F-A73D-D731E3DC40B3}">
  <dimension ref="B3:C6"/>
  <sheetViews>
    <sheetView workbookViewId="0">
      <selection activeCell="C4" sqref="C4"/>
    </sheetView>
  </sheetViews>
  <sheetFormatPr defaultRowHeight="14.5" x14ac:dyDescent="0.35"/>
  <cols>
    <col min="2" max="2" width="12.453125" bestFit="1" customWidth="1"/>
    <col min="3" max="3" width="20.90625" bestFit="1" customWidth="1"/>
  </cols>
  <sheetData>
    <row r="3" spans="2:3" x14ac:dyDescent="0.35">
      <c r="B3" s="1" t="s">
        <v>4</v>
      </c>
      <c r="C3" t="s">
        <v>31</v>
      </c>
    </row>
    <row r="4" spans="2:3" x14ac:dyDescent="0.35">
      <c r="B4" s="5" t="s">
        <v>29</v>
      </c>
      <c r="C4">
        <v>233</v>
      </c>
    </row>
    <row r="5" spans="2:3" x14ac:dyDescent="0.35">
      <c r="B5" s="5" t="s">
        <v>30</v>
      </c>
      <c r="C5">
        <v>273</v>
      </c>
    </row>
    <row r="6" spans="2:3" x14ac:dyDescent="0.35">
      <c r="B6" s="5" t="s">
        <v>5</v>
      </c>
      <c r="C6">
        <v>506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AFE73-D0C1-453A-AD0A-2C2D8ADB3CF4}">
  <dimension ref="B3:C12"/>
  <sheetViews>
    <sheetView workbookViewId="0">
      <selection activeCell="C6" sqref="C6"/>
    </sheetView>
  </sheetViews>
  <sheetFormatPr defaultRowHeight="14.5" x14ac:dyDescent="0.35"/>
  <cols>
    <col min="2" max="2" width="14.81640625" bestFit="1" customWidth="1"/>
    <col min="3" max="3" width="25.6328125" bestFit="1" customWidth="1"/>
  </cols>
  <sheetData>
    <row r="3" spans="2:3" x14ac:dyDescent="0.35">
      <c r="B3" s="1" t="s">
        <v>4</v>
      </c>
      <c r="C3" t="s">
        <v>40</v>
      </c>
    </row>
    <row r="4" spans="2:3" x14ac:dyDescent="0.35">
      <c r="B4" s="5" t="s">
        <v>39</v>
      </c>
      <c r="C4">
        <v>2</v>
      </c>
    </row>
    <row r="5" spans="2:3" x14ac:dyDescent="0.35">
      <c r="B5" s="5" t="s">
        <v>33</v>
      </c>
      <c r="C5">
        <v>11</v>
      </c>
    </row>
    <row r="6" spans="2:3" x14ac:dyDescent="0.35">
      <c r="B6" s="5" t="s">
        <v>32</v>
      </c>
      <c r="C6">
        <v>12</v>
      </c>
    </row>
    <row r="7" spans="2:3" x14ac:dyDescent="0.35">
      <c r="B7" s="5" t="s">
        <v>35</v>
      </c>
      <c r="C7">
        <v>15</v>
      </c>
    </row>
    <row r="8" spans="2:3" x14ac:dyDescent="0.35">
      <c r="B8" s="5" t="s">
        <v>38</v>
      </c>
      <c r="C8">
        <v>18</v>
      </c>
    </row>
    <row r="9" spans="2:3" x14ac:dyDescent="0.35">
      <c r="B9" s="5" t="s">
        <v>37</v>
      </c>
      <c r="C9">
        <v>60</v>
      </c>
    </row>
    <row r="10" spans="2:3" x14ac:dyDescent="0.35">
      <c r="B10" s="5" t="s">
        <v>34</v>
      </c>
      <c r="C10">
        <v>83</v>
      </c>
    </row>
    <row r="11" spans="2:3" x14ac:dyDescent="0.35">
      <c r="B11" s="5" t="s">
        <v>36</v>
      </c>
      <c r="C11">
        <v>305</v>
      </c>
    </row>
    <row r="12" spans="2:3" x14ac:dyDescent="0.35">
      <c r="B12" s="5" t="s">
        <v>5</v>
      </c>
      <c r="C12">
        <v>506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3B783-4252-4E80-9B0F-5CA3EF9923A9}">
  <dimension ref="A1:Q19"/>
  <sheetViews>
    <sheetView workbookViewId="0"/>
  </sheetViews>
  <sheetFormatPr defaultRowHeight="14.5" x14ac:dyDescent="0.35"/>
  <cols>
    <col min="10" max="10" width="18.08984375" customWidth="1"/>
  </cols>
  <sheetData>
    <row r="1" spans="1:17" x14ac:dyDescent="0.35">
      <c r="A1" s="6"/>
      <c r="B1" s="6"/>
      <c r="C1" s="6"/>
      <c r="D1" s="6"/>
      <c r="E1" s="6"/>
      <c r="F1" s="6"/>
      <c r="G1" s="6"/>
      <c r="H1" s="6"/>
      <c r="I1" s="6"/>
      <c r="J1" s="6"/>
      <c r="K1" s="6"/>
      <c r="L1" s="6"/>
      <c r="M1" s="6"/>
      <c r="N1" s="6"/>
      <c r="O1" s="6"/>
      <c r="P1" s="6"/>
      <c r="Q1" s="6"/>
    </row>
    <row r="2" spans="1:17" x14ac:dyDescent="0.35">
      <c r="A2" s="6"/>
      <c r="B2" s="6"/>
      <c r="C2" s="6"/>
      <c r="D2" s="6"/>
      <c r="E2" s="6"/>
      <c r="F2" s="6"/>
      <c r="G2" s="6"/>
      <c r="H2" s="6"/>
      <c r="I2" s="6"/>
      <c r="J2" s="6"/>
      <c r="K2" s="6"/>
      <c r="L2" s="6"/>
      <c r="M2" s="6"/>
      <c r="N2" s="6"/>
      <c r="O2" s="6"/>
      <c r="P2" s="6"/>
      <c r="Q2" s="6"/>
    </row>
    <row r="3" spans="1:17" x14ac:dyDescent="0.35">
      <c r="A3" s="6"/>
      <c r="B3" s="6"/>
      <c r="C3" s="6"/>
      <c r="D3" s="6"/>
      <c r="E3" s="6"/>
      <c r="F3" s="6"/>
      <c r="G3" s="6"/>
      <c r="H3" s="6"/>
      <c r="I3" s="6"/>
      <c r="J3" s="6"/>
      <c r="K3" s="6"/>
      <c r="L3" s="6"/>
      <c r="M3" s="6"/>
      <c r="N3" s="6"/>
      <c r="O3" s="6"/>
      <c r="P3" s="6"/>
      <c r="Q3" s="6"/>
    </row>
    <row r="4" spans="1:17" x14ac:dyDescent="0.35">
      <c r="A4" s="6"/>
      <c r="B4" s="6"/>
      <c r="C4" s="6"/>
      <c r="D4" s="6"/>
      <c r="E4" s="6"/>
      <c r="F4" s="6"/>
      <c r="G4" s="6"/>
      <c r="H4" s="6"/>
      <c r="I4" s="6"/>
      <c r="J4" s="6"/>
      <c r="K4" s="6"/>
      <c r="L4" s="6"/>
      <c r="M4" s="6"/>
      <c r="N4" s="6"/>
      <c r="O4" s="6"/>
      <c r="P4" s="6"/>
      <c r="Q4" s="6"/>
    </row>
    <row r="5" spans="1:17" x14ac:dyDescent="0.35">
      <c r="A5" s="6"/>
      <c r="B5" s="6"/>
      <c r="C5" s="6"/>
      <c r="D5" s="6"/>
      <c r="E5" s="6"/>
      <c r="F5" s="6"/>
      <c r="G5" s="6"/>
      <c r="H5" s="6"/>
      <c r="I5" s="6"/>
      <c r="J5" s="6"/>
      <c r="K5" s="6"/>
      <c r="L5" s="6"/>
      <c r="M5" s="6"/>
      <c r="N5" s="6"/>
      <c r="O5" s="6"/>
      <c r="P5" s="6"/>
      <c r="Q5" s="6"/>
    </row>
    <row r="6" spans="1:17" x14ac:dyDescent="0.35">
      <c r="A6" s="6"/>
      <c r="B6" s="6"/>
      <c r="C6" s="6"/>
      <c r="D6" s="6"/>
      <c r="E6" s="6"/>
      <c r="F6" s="6"/>
      <c r="G6" s="6"/>
      <c r="H6" s="6"/>
      <c r="I6" s="6"/>
      <c r="J6" s="6"/>
      <c r="K6" s="6"/>
      <c r="L6" s="6"/>
      <c r="M6" s="6"/>
      <c r="N6" s="6"/>
      <c r="O6" s="6"/>
      <c r="P6" s="6"/>
      <c r="Q6" s="6"/>
    </row>
    <row r="7" spans="1:17" x14ac:dyDescent="0.35">
      <c r="A7" s="6"/>
      <c r="B7" s="6"/>
      <c r="C7" s="6"/>
      <c r="D7" s="6"/>
      <c r="E7" s="6"/>
      <c r="F7" s="6"/>
      <c r="G7" s="6"/>
      <c r="H7" s="6"/>
      <c r="I7" s="6"/>
      <c r="J7" s="6"/>
      <c r="K7" s="6"/>
      <c r="L7" s="6"/>
      <c r="M7" s="6"/>
      <c r="N7" s="6"/>
      <c r="O7" s="6"/>
      <c r="P7" s="6"/>
      <c r="Q7" s="6"/>
    </row>
    <row r="8" spans="1:17" x14ac:dyDescent="0.35">
      <c r="A8" s="6"/>
      <c r="B8" s="6"/>
      <c r="C8" s="6"/>
      <c r="D8" s="6"/>
      <c r="E8" s="6"/>
      <c r="F8" s="6"/>
      <c r="G8" s="6"/>
      <c r="H8" s="6"/>
      <c r="I8" s="6"/>
      <c r="J8" s="6"/>
      <c r="K8" s="6"/>
      <c r="L8" s="6"/>
      <c r="M8" s="6"/>
      <c r="N8" s="6"/>
      <c r="O8" s="6"/>
      <c r="P8" s="6"/>
      <c r="Q8" s="6"/>
    </row>
    <row r="9" spans="1:17" x14ac:dyDescent="0.35">
      <c r="A9" s="6"/>
      <c r="B9" s="6"/>
      <c r="C9" s="6"/>
      <c r="D9" s="6"/>
      <c r="E9" s="6"/>
      <c r="F9" s="6"/>
      <c r="G9" s="6"/>
      <c r="H9" s="6"/>
      <c r="I9" s="6"/>
      <c r="J9" s="6"/>
      <c r="K9" s="6"/>
      <c r="L9" s="6"/>
      <c r="M9" s="6"/>
      <c r="N9" s="6"/>
      <c r="O9" s="6"/>
      <c r="P9" s="6"/>
      <c r="Q9" s="6"/>
    </row>
    <row r="10" spans="1:17" x14ac:dyDescent="0.35">
      <c r="A10" s="6"/>
      <c r="B10" s="6"/>
      <c r="C10" s="6"/>
      <c r="D10" s="6"/>
      <c r="E10" s="6"/>
      <c r="F10" s="6"/>
      <c r="G10" s="6"/>
      <c r="H10" s="6"/>
      <c r="I10" s="6"/>
      <c r="J10" s="6"/>
      <c r="K10" s="6"/>
      <c r="L10" s="6"/>
      <c r="M10" s="6"/>
      <c r="N10" s="6"/>
      <c r="O10" s="6"/>
      <c r="P10" s="6"/>
      <c r="Q10" s="6"/>
    </row>
    <row r="11" spans="1:17" x14ac:dyDescent="0.35">
      <c r="A11" s="6"/>
      <c r="B11" s="6"/>
      <c r="C11" s="6"/>
      <c r="D11" s="6"/>
      <c r="E11" s="6"/>
      <c r="F11" s="6"/>
      <c r="G11" s="6"/>
      <c r="H11" s="6"/>
      <c r="I11" s="6"/>
      <c r="J11" s="6"/>
      <c r="K11" s="6"/>
      <c r="L11" s="6"/>
      <c r="M11" s="6"/>
      <c r="N11" s="6"/>
      <c r="O11" s="6"/>
      <c r="P11" s="6"/>
      <c r="Q11" s="6"/>
    </row>
    <row r="12" spans="1:17" x14ac:dyDescent="0.35">
      <c r="A12" s="6"/>
      <c r="B12" s="6"/>
      <c r="C12" s="6"/>
      <c r="D12" s="6"/>
      <c r="E12" s="6"/>
      <c r="F12" s="6"/>
      <c r="G12" s="6"/>
      <c r="H12" s="6"/>
      <c r="I12" s="6"/>
      <c r="J12" s="6"/>
      <c r="K12" s="6"/>
      <c r="L12" s="6"/>
      <c r="M12" s="6"/>
      <c r="N12" s="6"/>
      <c r="O12" s="6"/>
      <c r="P12" s="6"/>
      <c r="Q12" s="6"/>
    </row>
    <row r="13" spans="1:17" x14ac:dyDescent="0.35">
      <c r="A13" s="6"/>
      <c r="B13" s="6"/>
      <c r="C13" s="6"/>
      <c r="D13" s="6"/>
      <c r="E13" s="6"/>
      <c r="F13" s="6"/>
      <c r="G13" s="6"/>
      <c r="H13" s="6"/>
      <c r="I13" s="6"/>
      <c r="J13" s="6"/>
      <c r="K13" s="6"/>
      <c r="L13" s="6"/>
      <c r="M13" s="6"/>
      <c r="N13" s="6"/>
      <c r="O13" s="6"/>
      <c r="P13" s="6"/>
      <c r="Q13" s="6"/>
    </row>
    <row r="14" spans="1:17" x14ac:dyDescent="0.35">
      <c r="A14" s="6"/>
      <c r="B14" s="6"/>
      <c r="C14" s="6"/>
      <c r="D14" s="6"/>
      <c r="E14" s="6"/>
      <c r="F14" s="6"/>
      <c r="G14" s="6"/>
      <c r="H14" s="6"/>
      <c r="I14" s="6"/>
      <c r="J14" s="6"/>
      <c r="K14" s="6"/>
      <c r="L14" s="6"/>
      <c r="M14" s="6"/>
      <c r="N14" s="6"/>
      <c r="O14" s="6"/>
      <c r="P14" s="6"/>
      <c r="Q14" s="6"/>
    </row>
    <row r="15" spans="1:17" x14ac:dyDescent="0.35">
      <c r="A15" s="6"/>
      <c r="B15" s="6"/>
      <c r="C15" s="6"/>
      <c r="D15" s="6"/>
      <c r="E15" s="6"/>
      <c r="F15" s="6"/>
      <c r="G15" s="6"/>
      <c r="H15" s="6"/>
      <c r="I15" s="6"/>
      <c r="J15" s="6"/>
      <c r="K15" s="6"/>
      <c r="L15" s="6"/>
      <c r="M15" s="6"/>
      <c r="N15" s="6"/>
      <c r="O15" s="6"/>
      <c r="P15" s="6"/>
      <c r="Q15" s="6"/>
    </row>
    <row r="16" spans="1:17" x14ac:dyDescent="0.35">
      <c r="A16" s="6"/>
      <c r="B16" s="6"/>
      <c r="C16" s="6"/>
      <c r="D16" s="6"/>
      <c r="E16" s="6"/>
      <c r="F16" s="6"/>
      <c r="G16" s="6"/>
      <c r="H16" s="6"/>
      <c r="I16" s="6"/>
      <c r="J16" s="6"/>
      <c r="K16" s="6"/>
      <c r="L16" s="6"/>
      <c r="M16" s="6"/>
      <c r="N16" s="6"/>
      <c r="O16" s="6"/>
      <c r="P16" s="6"/>
      <c r="Q16" s="6"/>
    </row>
    <row r="17" spans="1:17" x14ac:dyDescent="0.35">
      <c r="A17" s="6"/>
      <c r="B17" s="6"/>
      <c r="C17" s="6"/>
      <c r="D17" s="6"/>
      <c r="E17" s="6"/>
      <c r="F17" s="6"/>
      <c r="G17" s="6"/>
      <c r="H17" s="6"/>
      <c r="I17" s="6"/>
      <c r="J17" s="6"/>
      <c r="K17" s="6"/>
      <c r="L17" s="6"/>
      <c r="M17" s="6"/>
      <c r="N17" s="6"/>
      <c r="O17" s="6"/>
      <c r="P17" s="6"/>
      <c r="Q17" s="6"/>
    </row>
    <row r="18" spans="1:17" x14ac:dyDescent="0.35">
      <c r="A18" s="6"/>
      <c r="B18" s="6"/>
      <c r="C18" s="6"/>
      <c r="D18" s="6"/>
      <c r="E18" s="6"/>
      <c r="F18" s="6"/>
      <c r="G18" s="6"/>
      <c r="H18" s="6"/>
      <c r="I18" s="6"/>
      <c r="J18" s="6"/>
      <c r="K18" s="6"/>
      <c r="L18" s="6"/>
      <c r="M18" s="6"/>
      <c r="N18" s="6"/>
      <c r="O18" s="6"/>
      <c r="P18" s="6"/>
      <c r="Q18" s="6"/>
    </row>
    <row r="19" spans="1:17" x14ac:dyDescent="0.35">
      <c r="A19" s="6"/>
      <c r="B19" s="6"/>
      <c r="C19" s="6"/>
      <c r="D19" s="6"/>
      <c r="E19" s="6"/>
      <c r="F19" s="6"/>
      <c r="G19" s="6"/>
      <c r="H19" s="6"/>
      <c r="I19" s="6"/>
      <c r="J19" s="6"/>
      <c r="K19" s="6"/>
      <c r="L19" s="6"/>
      <c r="M19" s="6"/>
      <c r="N19" s="6"/>
      <c r="O19" s="6"/>
      <c r="P19" s="6"/>
      <c r="Q19" s="6"/>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72479-E40C-4DA3-A538-B9C46E9B1A20}">
  <dimension ref="A1:S20"/>
  <sheetViews>
    <sheetView workbookViewId="0"/>
  </sheetViews>
  <sheetFormatPr defaultRowHeight="14.5" x14ac:dyDescent="0.35"/>
  <sheetData>
    <row r="1" spans="1:19" x14ac:dyDescent="0.35">
      <c r="A1" s="6"/>
      <c r="B1" s="6"/>
      <c r="C1" s="6"/>
      <c r="D1" s="6"/>
      <c r="E1" s="6"/>
      <c r="F1" s="6"/>
      <c r="G1" s="6"/>
      <c r="H1" s="6"/>
      <c r="I1" s="6"/>
      <c r="J1" s="6"/>
      <c r="K1" s="6"/>
      <c r="L1" s="6"/>
      <c r="M1" s="6"/>
      <c r="N1" s="6"/>
      <c r="O1" s="6"/>
      <c r="P1" s="6"/>
      <c r="Q1" s="6"/>
      <c r="R1" s="6"/>
      <c r="S1" s="6"/>
    </row>
    <row r="2" spans="1:19" x14ac:dyDescent="0.35">
      <c r="A2" s="6"/>
      <c r="B2" s="6"/>
      <c r="C2" s="6"/>
      <c r="D2" s="6"/>
      <c r="E2" s="6"/>
      <c r="F2" s="6"/>
      <c r="G2" s="6"/>
      <c r="H2" s="6"/>
      <c r="I2" s="6"/>
      <c r="J2" s="6"/>
      <c r="K2" s="6"/>
      <c r="L2" s="6"/>
      <c r="M2" s="6"/>
      <c r="N2" s="6"/>
      <c r="O2" s="6"/>
      <c r="P2" s="6"/>
      <c r="Q2" s="6"/>
      <c r="R2" s="6"/>
      <c r="S2" s="6"/>
    </row>
    <row r="3" spans="1:19" x14ac:dyDescent="0.35">
      <c r="A3" s="6"/>
      <c r="B3" s="6"/>
      <c r="C3" s="6"/>
      <c r="D3" s="6"/>
      <c r="E3" s="6"/>
      <c r="F3" s="6"/>
      <c r="G3" s="6"/>
      <c r="H3" s="6"/>
      <c r="I3" s="6"/>
      <c r="J3" s="6"/>
      <c r="K3" s="6"/>
      <c r="L3" s="6"/>
      <c r="M3" s="6"/>
      <c r="N3" s="6"/>
      <c r="O3" s="6"/>
      <c r="P3" s="6"/>
      <c r="Q3" s="6"/>
      <c r="R3" s="6"/>
      <c r="S3" s="6"/>
    </row>
    <row r="4" spans="1:19" x14ac:dyDescent="0.35">
      <c r="A4" s="6"/>
      <c r="B4" s="6"/>
      <c r="C4" s="6"/>
      <c r="D4" s="6"/>
      <c r="E4" s="6"/>
      <c r="F4" s="6"/>
      <c r="G4" s="6"/>
      <c r="H4" s="6"/>
      <c r="I4" s="6"/>
      <c r="J4" s="6"/>
      <c r="K4" s="6"/>
      <c r="L4" s="6"/>
      <c r="M4" s="6"/>
      <c r="N4" s="6"/>
      <c r="O4" s="6"/>
      <c r="P4" s="6"/>
      <c r="Q4" s="6"/>
      <c r="R4" s="6"/>
      <c r="S4" s="6"/>
    </row>
    <row r="5" spans="1:19" x14ac:dyDescent="0.35">
      <c r="A5" s="6"/>
      <c r="B5" s="6"/>
      <c r="C5" s="6"/>
      <c r="D5" s="6"/>
      <c r="E5" s="6"/>
      <c r="F5" s="6"/>
      <c r="G5" s="6"/>
      <c r="H5" s="6"/>
      <c r="I5" s="6"/>
      <c r="J5" s="6"/>
      <c r="K5" s="6"/>
      <c r="L5" s="6"/>
      <c r="M5" s="6"/>
      <c r="N5" s="6"/>
      <c r="O5" s="6"/>
      <c r="P5" s="6"/>
      <c r="Q5" s="6"/>
      <c r="R5" s="6"/>
      <c r="S5" s="6"/>
    </row>
    <row r="6" spans="1:19" x14ac:dyDescent="0.35">
      <c r="A6" s="6"/>
      <c r="B6" s="6"/>
      <c r="C6" s="6"/>
      <c r="D6" s="6"/>
      <c r="E6" s="6"/>
      <c r="F6" s="6"/>
      <c r="G6" s="6"/>
      <c r="H6" s="6"/>
      <c r="I6" s="6"/>
      <c r="J6" s="6"/>
      <c r="K6" s="6"/>
      <c r="L6" s="6"/>
      <c r="M6" s="6"/>
      <c r="N6" s="6"/>
      <c r="O6" s="6"/>
      <c r="P6" s="6"/>
      <c r="Q6" s="6"/>
      <c r="R6" s="6"/>
      <c r="S6" s="6"/>
    </row>
    <row r="7" spans="1:19" x14ac:dyDescent="0.35">
      <c r="A7" s="6"/>
      <c r="B7" s="6"/>
      <c r="C7" s="6"/>
      <c r="D7" s="6"/>
      <c r="E7" s="6"/>
      <c r="F7" s="6"/>
      <c r="G7" s="6"/>
      <c r="H7" s="6"/>
      <c r="I7" s="6"/>
      <c r="J7" s="6"/>
      <c r="K7" s="6"/>
      <c r="L7" s="6"/>
      <c r="M7" s="6"/>
      <c r="N7" s="6"/>
      <c r="O7" s="6"/>
      <c r="P7" s="6"/>
      <c r="Q7" s="6"/>
      <c r="R7" s="6"/>
      <c r="S7" s="6"/>
    </row>
    <row r="8" spans="1:19" x14ac:dyDescent="0.35">
      <c r="A8" s="6"/>
      <c r="B8" s="6"/>
      <c r="C8" s="6"/>
      <c r="D8" s="6"/>
      <c r="E8" s="6"/>
      <c r="F8" s="6"/>
      <c r="G8" s="6"/>
      <c r="H8" s="6"/>
      <c r="I8" s="6"/>
      <c r="J8" s="6"/>
      <c r="K8" s="6"/>
      <c r="L8" s="6"/>
      <c r="M8" s="6"/>
      <c r="N8" s="6"/>
      <c r="O8" s="6"/>
      <c r="P8" s="6"/>
      <c r="Q8" s="6"/>
      <c r="R8" s="6"/>
      <c r="S8" s="6"/>
    </row>
    <row r="9" spans="1:19" x14ac:dyDescent="0.35">
      <c r="A9" s="6"/>
      <c r="B9" s="6"/>
      <c r="C9" s="6"/>
      <c r="D9" s="6"/>
      <c r="E9" s="6"/>
      <c r="F9" s="6"/>
      <c r="G9" s="6"/>
      <c r="H9" s="6"/>
      <c r="I9" s="6"/>
      <c r="J9" s="6"/>
      <c r="K9" s="6"/>
      <c r="L9" s="6"/>
      <c r="M9" s="6"/>
      <c r="N9" s="6"/>
      <c r="O9" s="6"/>
      <c r="P9" s="6"/>
      <c r="Q9" s="6"/>
      <c r="R9" s="6"/>
      <c r="S9" s="6"/>
    </row>
    <row r="10" spans="1:19" x14ac:dyDescent="0.35">
      <c r="A10" s="6"/>
      <c r="B10" s="6"/>
      <c r="C10" s="6"/>
      <c r="D10" s="6"/>
      <c r="E10" s="6"/>
      <c r="F10" s="6"/>
      <c r="G10" s="6"/>
      <c r="H10" s="6"/>
      <c r="I10" s="6"/>
      <c r="J10" s="6"/>
      <c r="K10" s="6"/>
      <c r="L10" s="6"/>
      <c r="M10" s="6"/>
      <c r="N10" s="6"/>
      <c r="O10" s="6"/>
      <c r="P10" s="6"/>
      <c r="Q10" s="6"/>
      <c r="R10" s="6"/>
      <c r="S10" s="6"/>
    </row>
    <row r="11" spans="1:19" x14ac:dyDescent="0.35">
      <c r="A11" s="6"/>
      <c r="B11" s="6"/>
      <c r="C11" s="6"/>
      <c r="D11" s="6"/>
      <c r="E11" s="6"/>
      <c r="F11" s="6"/>
      <c r="G11" s="6"/>
      <c r="H11" s="6"/>
      <c r="I11" s="6"/>
      <c r="J11" s="6"/>
      <c r="K11" s="6"/>
      <c r="L11" s="6"/>
      <c r="M11" s="6"/>
      <c r="N11" s="6"/>
      <c r="O11" s="6"/>
      <c r="P11" s="6"/>
      <c r="Q11" s="6"/>
      <c r="R11" s="6"/>
      <c r="S11" s="6"/>
    </row>
    <row r="12" spans="1:19" x14ac:dyDescent="0.35">
      <c r="A12" s="6"/>
      <c r="B12" s="6"/>
      <c r="C12" s="6"/>
      <c r="D12" s="6"/>
      <c r="E12" s="6"/>
      <c r="F12" s="6"/>
      <c r="G12" s="6"/>
      <c r="H12" s="6"/>
      <c r="I12" s="6"/>
      <c r="J12" s="6"/>
      <c r="K12" s="6"/>
      <c r="L12" s="6"/>
      <c r="M12" s="6"/>
      <c r="N12" s="6"/>
      <c r="O12" s="6"/>
      <c r="P12" s="6"/>
      <c r="Q12" s="6"/>
      <c r="R12" s="6"/>
      <c r="S12" s="6"/>
    </row>
    <row r="13" spans="1:19" x14ac:dyDescent="0.35">
      <c r="A13" s="6"/>
      <c r="B13" s="6"/>
      <c r="C13" s="6"/>
      <c r="D13" s="6"/>
      <c r="E13" s="6"/>
      <c r="F13" s="6"/>
      <c r="G13" s="6"/>
      <c r="H13" s="6"/>
      <c r="I13" s="6"/>
      <c r="J13" s="6"/>
      <c r="K13" s="6"/>
      <c r="L13" s="6"/>
      <c r="M13" s="6"/>
      <c r="N13" s="6"/>
      <c r="O13" s="6"/>
      <c r="P13" s="6"/>
      <c r="Q13" s="6"/>
      <c r="R13" s="6"/>
      <c r="S13" s="6"/>
    </row>
    <row r="14" spans="1:19" x14ac:dyDescent="0.35">
      <c r="A14" s="6"/>
      <c r="B14" s="6"/>
      <c r="C14" s="6"/>
      <c r="D14" s="6"/>
      <c r="E14" s="6"/>
      <c r="F14" s="6"/>
      <c r="G14" s="6"/>
      <c r="H14" s="6"/>
      <c r="I14" s="6"/>
      <c r="J14" s="6"/>
      <c r="K14" s="6"/>
      <c r="L14" s="6"/>
      <c r="M14" s="6"/>
      <c r="N14" s="6"/>
      <c r="O14" s="6"/>
      <c r="P14" s="6"/>
      <c r="Q14" s="6"/>
      <c r="R14" s="6"/>
      <c r="S14" s="6"/>
    </row>
    <row r="15" spans="1:19" x14ac:dyDescent="0.35">
      <c r="A15" s="6"/>
      <c r="B15" s="6"/>
      <c r="C15" s="6"/>
      <c r="D15" s="6"/>
      <c r="E15" s="6"/>
      <c r="F15" s="6"/>
      <c r="G15" s="6"/>
      <c r="H15" s="6"/>
      <c r="I15" s="6"/>
      <c r="J15" s="6"/>
      <c r="K15" s="6"/>
      <c r="L15" s="6"/>
      <c r="M15" s="6"/>
      <c r="N15" s="6"/>
      <c r="O15" s="6"/>
      <c r="P15" s="6"/>
      <c r="Q15" s="6"/>
      <c r="R15" s="6"/>
      <c r="S15" s="6"/>
    </row>
    <row r="16" spans="1:19" x14ac:dyDescent="0.35">
      <c r="A16" s="6"/>
      <c r="B16" s="6"/>
      <c r="C16" s="6"/>
      <c r="D16" s="6"/>
      <c r="E16" s="6"/>
      <c r="F16" s="6"/>
      <c r="G16" s="6"/>
      <c r="H16" s="6"/>
      <c r="I16" s="6"/>
      <c r="J16" s="6"/>
      <c r="K16" s="6"/>
      <c r="L16" s="6"/>
      <c r="M16" s="6"/>
      <c r="N16" s="6"/>
      <c r="O16" s="6"/>
      <c r="P16" s="6"/>
      <c r="Q16" s="6"/>
      <c r="R16" s="6"/>
      <c r="S16" s="6"/>
    </row>
    <row r="17" spans="1:19" x14ac:dyDescent="0.35">
      <c r="A17" s="6"/>
      <c r="B17" s="6"/>
      <c r="C17" s="6"/>
      <c r="D17" s="6"/>
      <c r="E17" s="6"/>
      <c r="F17" s="6"/>
      <c r="G17" s="6"/>
      <c r="H17" s="6"/>
      <c r="I17" s="6"/>
      <c r="J17" s="6"/>
      <c r="K17" s="6"/>
      <c r="L17" s="6"/>
      <c r="M17" s="6"/>
      <c r="N17" s="6"/>
      <c r="O17" s="6"/>
      <c r="P17" s="6"/>
      <c r="Q17" s="6"/>
      <c r="R17" s="6"/>
      <c r="S17" s="6"/>
    </row>
    <row r="18" spans="1:19" x14ac:dyDescent="0.35">
      <c r="A18" s="6"/>
      <c r="B18" s="6"/>
      <c r="C18" s="6"/>
      <c r="D18" s="6"/>
      <c r="E18" s="6"/>
      <c r="F18" s="6"/>
      <c r="G18" s="6"/>
      <c r="H18" s="6"/>
      <c r="I18" s="6"/>
      <c r="J18" s="6"/>
      <c r="K18" s="6"/>
      <c r="L18" s="6"/>
      <c r="M18" s="6"/>
      <c r="N18" s="6"/>
      <c r="O18" s="6"/>
      <c r="P18" s="6"/>
      <c r="Q18" s="6"/>
      <c r="R18" s="6"/>
      <c r="S18" s="6"/>
    </row>
    <row r="19" spans="1:19" x14ac:dyDescent="0.35">
      <c r="A19" s="6"/>
      <c r="B19" s="6"/>
      <c r="C19" s="6"/>
      <c r="D19" s="6"/>
      <c r="E19" s="6"/>
      <c r="F19" s="6"/>
      <c r="G19" s="6"/>
      <c r="H19" s="6"/>
      <c r="I19" s="6"/>
      <c r="J19" s="6"/>
      <c r="K19" s="6"/>
      <c r="L19" s="6"/>
      <c r="M19" s="6"/>
      <c r="N19" s="6"/>
      <c r="O19" s="6"/>
      <c r="P19" s="6"/>
      <c r="Q19" s="6"/>
      <c r="R19" s="6"/>
      <c r="S19" s="6"/>
    </row>
    <row r="20" spans="1:19" x14ac:dyDescent="0.35">
      <c r="A20" s="6"/>
      <c r="B20" s="6"/>
      <c r="C20" s="6"/>
      <c r="D20" s="6"/>
      <c r="E20" s="6"/>
      <c r="F20" s="6"/>
      <c r="G20" s="6"/>
      <c r="H20" s="6"/>
      <c r="I20" s="6"/>
      <c r="J20" s="6"/>
      <c r="K20" s="6"/>
      <c r="L20" s="6"/>
      <c r="M20" s="6"/>
      <c r="N20" s="6"/>
      <c r="O20" s="6"/>
      <c r="P20" s="6"/>
      <c r="Q20" s="6"/>
      <c r="R20" s="6"/>
      <c r="S20" s="6"/>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67A73-B608-4EFF-A280-C141DBBB2978}">
  <dimension ref="A1:S20"/>
  <sheetViews>
    <sheetView workbookViewId="0"/>
  </sheetViews>
  <sheetFormatPr defaultRowHeight="14.5" x14ac:dyDescent="0.35"/>
  <sheetData>
    <row r="1" spans="1:19" x14ac:dyDescent="0.35">
      <c r="A1" s="6"/>
      <c r="B1" s="6"/>
      <c r="C1" s="6"/>
      <c r="D1" s="6"/>
      <c r="E1" s="6"/>
      <c r="F1" s="6"/>
      <c r="G1" s="6"/>
      <c r="H1" s="6"/>
      <c r="I1" s="6"/>
      <c r="J1" s="6"/>
      <c r="K1" s="6"/>
      <c r="L1" s="6"/>
      <c r="M1" s="6"/>
      <c r="N1" s="6"/>
      <c r="O1" s="6"/>
      <c r="P1" s="6"/>
      <c r="Q1" s="6"/>
      <c r="R1" s="6"/>
      <c r="S1" s="6"/>
    </row>
    <row r="2" spans="1:19" x14ac:dyDescent="0.35">
      <c r="A2" s="6"/>
      <c r="B2" s="6"/>
      <c r="C2" s="6"/>
      <c r="D2" s="6"/>
      <c r="E2" s="6"/>
      <c r="F2" s="6"/>
      <c r="G2" s="6"/>
      <c r="H2" s="6"/>
      <c r="I2" s="6"/>
      <c r="J2" s="6"/>
      <c r="K2" s="6"/>
      <c r="L2" s="6"/>
      <c r="M2" s="6"/>
      <c r="N2" s="6"/>
      <c r="O2" s="6"/>
      <c r="P2" s="6"/>
      <c r="Q2" s="6"/>
      <c r="R2" s="6"/>
      <c r="S2" s="6"/>
    </row>
    <row r="3" spans="1:19" x14ac:dyDescent="0.35">
      <c r="A3" s="6"/>
      <c r="B3" s="6"/>
      <c r="C3" s="6"/>
      <c r="D3" s="6"/>
      <c r="E3" s="6"/>
      <c r="F3" s="6"/>
      <c r="G3" s="6"/>
      <c r="H3" s="6"/>
      <c r="I3" s="6"/>
      <c r="J3" s="6"/>
      <c r="K3" s="6"/>
      <c r="L3" s="6"/>
      <c r="M3" s="6"/>
      <c r="N3" s="6"/>
      <c r="O3" s="6"/>
      <c r="P3" s="6"/>
      <c r="Q3" s="6"/>
      <c r="R3" s="6"/>
      <c r="S3" s="6"/>
    </row>
    <row r="4" spans="1:19" x14ac:dyDescent="0.35">
      <c r="A4" s="6"/>
      <c r="B4" s="6"/>
      <c r="C4" s="6"/>
      <c r="D4" s="6"/>
      <c r="E4" s="6"/>
      <c r="F4" s="6"/>
      <c r="G4" s="6"/>
      <c r="H4" s="6"/>
      <c r="I4" s="6"/>
      <c r="J4" s="6"/>
      <c r="K4" s="6"/>
      <c r="L4" s="6"/>
      <c r="M4" s="6"/>
      <c r="N4" s="6"/>
      <c r="O4" s="6"/>
      <c r="P4" s="6"/>
      <c r="Q4" s="6"/>
      <c r="R4" s="6"/>
      <c r="S4" s="6"/>
    </row>
    <row r="5" spans="1:19" x14ac:dyDescent="0.35">
      <c r="A5" s="6"/>
      <c r="B5" s="6"/>
      <c r="C5" s="6"/>
      <c r="D5" s="6"/>
      <c r="E5" s="6"/>
      <c r="F5" s="6"/>
      <c r="G5" s="6"/>
      <c r="H5" s="6"/>
      <c r="I5" s="6"/>
      <c r="J5" s="6"/>
      <c r="K5" s="6"/>
      <c r="L5" s="6"/>
      <c r="M5" s="6"/>
      <c r="N5" s="6"/>
      <c r="O5" s="6"/>
      <c r="P5" s="6"/>
      <c r="Q5" s="6"/>
      <c r="R5" s="6"/>
      <c r="S5" s="6"/>
    </row>
    <row r="6" spans="1:19" x14ac:dyDescent="0.35">
      <c r="A6" s="6"/>
      <c r="B6" s="6"/>
      <c r="C6" s="6"/>
      <c r="D6" s="6"/>
      <c r="E6" s="6"/>
      <c r="F6" s="6"/>
      <c r="G6" s="6"/>
      <c r="H6" s="6"/>
      <c r="I6" s="6"/>
      <c r="J6" s="6"/>
      <c r="K6" s="6"/>
      <c r="L6" s="6"/>
      <c r="M6" s="6"/>
      <c r="N6" s="6"/>
      <c r="O6" s="6"/>
      <c r="P6" s="6"/>
      <c r="Q6" s="6"/>
      <c r="R6" s="6"/>
      <c r="S6" s="6"/>
    </row>
    <row r="7" spans="1:19" x14ac:dyDescent="0.35">
      <c r="A7" s="6"/>
      <c r="B7" s="6"/>
      <c r="C7" s="6"/>
      <c r="D7" s="6"/>
      <c r="E7" s="6"/>
      <c r="F7" s="6"/>
      <c r="G7" s="6"/>
      <c r="H7" s="6"/>
      <c r="I7" s="6"/>
      <c r="J7" s="6"/>
      <c r="K7" s="6"/>
      <c r="L7" s="6"/>
      <c r="M7" s="6"/>
      <c r="N7" s="6"/>
      <c r="O7" s="6"/>
      <c r="P7" s="6"/>
      <c r="Q7" s="6"/>
      <c r="R7" s="6"/>
      <c r="S7" s="6"/>
    </row>
    <row r="8" spans="1:19" x14ac:dyDescent="0.35">
      <c r="A8" s="6"/>
      <c r="B8" s="6"/>
      <c r="C8" s="6"/>
      <c r="D8" s="6"/>
      <c r="E8" s="6"/>
      <c r="F8" s="6"/>
      <c r="G8" s="6"/>
      <c r="H8" s="6"/>
      <c r="I8" s="6"/>
      <c r="J8" s="6"/>
      <c r="K8" s="6"/>
      <c r="L8" s="6"/>
      <c r="M8" s="6"/>
      <c r="N8" s="6"/>
      <c r="O8" s="6"/>
      <c r="P8" s="6"/>
      <c r="Q8" s="6"/>
      <c r="R8" s="6"/>
      <c r="S8" s="6"/>
    </row>
    <row r="9" spans="1:19" x14ac:dyDescent="0.35">
      <c r="A9" s="6"/>
      <c r="B9" s="6"/>
      <c r="C9" s="6"/>
      <c r="D9" s="6"/>
      <c r="E9" s="6"/>
      <c r="F9" s="6"/>
      <c r="G9" s="6"/>
      <c r="H9" s="6"/>
      <c r="I9" s="6"/>
      <c r="J9" s="6"/>
      <c r="K9" s="6"/>
      <c r="L9" s="6"/>
      <c r="M9" s="6"/>
      <c r="N9" s="6"/>
      <c r="O9" s="6"/>
      <c r="P9" s="6"/>
      <c r="Q9" s="6"/>
      <c r="R9" s="6"/>
      <c r="S9" s="6"/>
    </row>
    <row r="10" spans="1:19" x14ac:dyDescent="0.35">
      <c r="A10" s="6"/>
      <c r="B10" s="6"/>
      <c r="C10" s="6"/>
      <c r="D10" s="6"/>
      <c r="E10" s="6"/>
      <c r="F10" s="6"/>
      <c r="G10" s="6"/>
      <c r="H10" s="6"/>
      <c r="I10" s="6"/>
      <c r="J10" s="6"/>
      <c r="K10" s="6"/>
      <c r="L10" s="6"/>
      <c r="M10" s="6"/>
      <c r="N10" s="6"/>
      <c r="O10" s="6"/>
      <c r="P10" s="6"/>
      <c r="Q10" s="6"/>
      <c r="R10" s="6"/>
      <c r="S10" s="6"/>
    </row>
    <row r="11" spans="1:19" x14ac:dyDescent="0.35">
      <c r="A11" s="6"/>
      <c r="B11" s="6"/>
      <c r="C11" s="6"/>
      <c r="D11" s="6"/>
      <c r="E11" s="6"/>
      <c r="F11" s="6"/>
      <c r="G11" s="6"/>
      <c r="H11" s="6"/>
      <c r="I11" s="6"/>
      <c r="J11" s="6"/>
      <c r="K11" s="6"/>
      <c r="L11" s="6"/>
      <c r="M11" s="6"/>
      <c r="N11" s="6"/>
      <c r="O11" s="6"/>
      <c r="P11" s="6"/>
      <c r="Q11" s="6"/>
      <c r="R11" s="6"/>
      <c r="S11" s="6"/>
    </row>
    <row r="12" spans="1:19" x14ac:dyDescent="0.35">
      <c r="A12" s="6"/>
      <c r="B12" s="6"/>
      <c r="C12" s="6"/>
      <c r="D12" s="6"/>
      <c r="E12" s="6"/>
      <c r="F12" s="6"/>
      <c r="G12" s="6"/>
      <c r="H12" s="6"/>
      <c r="I12" s="6"/>
      <c r="J12" s="6"/>
      <c r="K12" s="6"/>
      <c r="L12" s="6"/>
      <c r="M12" s="6"/>
      <c r="N12" s="6"/>
      <c r="O12" s="6"/>
      <c r="P12" s="6"/>
      <c r="Q12" s="6"/>
      <c r="R12" s="6"/>
      <c r="S12" s="6"/>
    </row>
    <row r="13" spans="1:19" x14ac:dyDescent="0.35">
      <c r="A13" s="6"/>
      <c r="B13" s="6"/>
      <c r="C13" s="6"/>
      <c r="D13" s="6"/>
      <c r="E13" s="6"/>
      <c r="F13" s="6"/>
      <c r="G13" s="6"/>
      <c r="H13" s="6"/>
      <c r="I13" s="6"/>
      <c r="J13" s="6"/>
      <c r="K13" s="6"/>
      <c r="L13" s="6"/>
      <c r="M13" s="6"/>
      <c r="N13" s="6"/>
      <c r="O13" s="6"/>
      <c r="P13" s="6"/>
      <c r="Q13" s="6"/>
      <c r="R13" s="6"/>
      <c r="S13" s="6"/>
    </row>
    <row r="14" spans="1:19" x14ac:dyDescent="0.35">
      <c r="A14" s="6"/>
      <c r="B14" s="6"/>
      <c r="C14" s="6"/>
      <c r="D14" s="6"/>
      <c r="E14" s="6"/>
      <c r="F14" s="6"/>
      <c r="G14" s="6"/>
      <c r="H14" s="6"/>
      <c r="I14" s="6"/>
      <c r="J14" s="6"/>
      <c r="K14" s="6"/>
      <c r="L14" s="6"/>
      <c r="M14" s="6"/>
      <c r="N14" s="6"/>
      <c r="O14" s="6"/>
      <c r="P14" s="6"/>
      <c r="Q14" s="6"/>
      <c r="R14" s="6"/>
      <c r="S14" s="6"/>
    </row>
    <row r="15" spans="1:19" x14ac:dyDescent="0.35">
      <c r="A15" s="6"/>
      <c r="B15" s="6"/>
      <c r="C15" s="6"/>
      <c r="D15" s="6"/>
      <c r="E15" s="6"/>
      <c r="F15" s="6"/>
      <c r="G15" s="6"/>
      <c r="H15" s="6"/>
      <c r="I15" s="6"/>
      <c r="J15" s="6"/>
      <c r="K15" s="6"/>
      <c r="L15" s="6"/>
      <c r="M15" s="6"/>
      <c r="N15" s="6"/>
      <c r="O15" s="6"/>
      <c r="P15" s="6"/>
      <c r="Q15" s="6"/>
      <c r="R15" s="6"/>
      <c r="S15" s="6"/>
    </row>
    <row r="16" spans="1:19" x14ac:dyDescent="0.35">
      <c r="A16" s="6"/>
      <c r="B16" s="6"/>
      <c r="C16" s="6"/>
      <c r="D16" s="6"/>
      <c r="E16" s="6"/>
      <c r="F16" s="6"/>
      <c r="G16" s="6"/>
      <c r="H16" s="6"/>
      <c r="I16" s="6"/>
      <c r="J16" s="6"/>
      <c r="K16" s="6"/>
      <c r="L16" s="6"/>
      <c r="M16" s="6"/>
      <c r="N16" s="6"/>
      <c r="O16" s="6"/>
      <c r="P16" s="6"/>
      <c r="Q16" s="6"/>
      <c r="R16" s="6"/>
      <c r="S16" s="6"/>
    </row>
    <row r="17" spans="1:19" x14ac:dyDescent="0.35">
      <c r="A17" s="6"/>
      <c r="B17" s="6"/>
      <c r="C17" s="6"/>
      <c r="D17" s="6"/>
      <c r="E17" s="6"/>
      <c r="F17" s="6"/>
      <c r="G17" s="6"/>
      <c r="H17" s="6"/>
      <c r="I17" s="6"/>
      <c r="J17" s="6"/>
      <c r="K17" s="6"/>
      <c r="L17" s="6"/>
      <c r="M17" s="6"/>
      <c r="N17" s="6"/>
      <c r="O17" s="6"/>
      <c r="P17" s="6"/>
      <c r="Q17" s="6"/>
      <c r="R17" s="6"/>
      <c r="S17" s="6"/>
    </row>
    <row r="18" spans="1:19" x14ac:dyDescent="0.35">
      <c r="A18" s="6"/>
      <c r="B18" s="6"/>
      <c r="C18" s="6"/>
      <c r="D18" s="6"/>
      <c r="E18" s="6"/>
      <c r="F18" s="6"/>
      <c r="G18" s="6"/>
      <c r="H18" s="6"/>
      <c r="I18" s="6"/>
      <c r="J18" s="6"/>
      <c r="K18" s="6"/>
      <c r="L18" s="6"/>
      <c r="M18" s="6"/>
      <c r="N18" s="6"/>
      <c r="O18" s="6"/>
      <c r="P18" s="6"/>
      <c r="Q18" s="6"/>
      <c r="R18" s="6"/>
      <c r="S18" s="6"/>
    </row>
    <row r="19" spans="1:19" x14ac:dyDescent="0.35">
      <c r="A19" s="6"/>
      <c r="B19" s="6"/>
      <c r="C19" s="6"/>
      <c r="D19" s="6"/>
      <c r="E19" s="6"/>
      <c r="F19" s="6"/>
      <c r="G19" s="6"/>
      <c r="H19" s="6"/>
      <c r="I19" s="6"/>
      <c r="J19" s="6"/>
      <c r="K19" s="6"/>
      <c r="L19" s="6"/>
      <c r="M19" s="6"/>
      <c r="N19" s="6"/>
      <c r="O19" s="6"/>
      <c r="P19" s="6"/>
      <c r="Q19" s="6"/>
      <c r="R19" s="6"/>
      <c r="S19" s="6"/>
    </row>
    <row r="20" spans="1:19" x14ac:dyDescent="0.35">
      <c r="A20" s="6"/>
      <c r="B20" s="6"/>
      <c r="C20" s="6"/>
      <c r="D20" s="6"/>
      <c r="E20" s="6"/>
      <c r="F20" s="6"/>
      <c r="G20" s="6"/>
      <c r="H20" s="6"/>
      <c r="I20" s="6"/>
      <c r="J20" s="6"/>
      <c r="K20" s="6"/>
      <c r="L20" s="6"/>
      <c r="M20" s="6"/>
      <c r="N20" s="6"/>
      <c r="O20" s="6"/>
      <c r="P20" s="6"/>
      <c r="Q20" s="6"/>
      <c r="R20" s="6"/>
      <c r="S20"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81810FA-C905-4218-90E4-B8500F5BF09A}">
  <ds:schemaRefs/>
</ds:datastoreItem>
</file>

<file path=customXml/itemProps2.xml><?xml version="1.0" encoding="utf-8"?>
<ds:datastoreItem xmlns:ds="http://schemas.openxmlformats.org/officeDocument/2006/customXml" ds:itemID="{470011B5-E2C6-4326-B862-91136E411701}">
  <ds:schemaRefs/>
</ds:datastoreItem>
</file>

<file path=customXml/itemProps3.xml><?xml version="1.0" encoding="utf-8"?>
<ds:datastoreItem xmlns:ds="http://schemas.openxmlformats.org/officeDocument/2006/customXml" ds:itemID="{9533A536-AE49-4A3A-B092-F44D580A4FE9}">
  <ds:schemaRefs/>
</ds:datastoreItem>
</file>

<file path=customXml/itemProps4.xml><?xml version="1.0" encoding="utf-8"?>
<ds:datastoreItem xmlns:ds="http://schemas.openxmlformats.org/officeDocument/2006/customXml" ds:itemID="{3B60D462-4FA0-4B6F-BDE0-D4DAB55BB120}">
  <ds:schemaRefs/>
</ds:datastoreItem>
</file>

<file path=customXml/itemProps5.xml><?xml version="1.0" encoding="utf-8"?>
<ds:datastoreItem xmlns:ds="http://schemas.openxmlformats.org/officeDocument/2006/customXml" ds:itemID="{174CEF75-72FD-4412-8621-107E33346D0F}">
  <ds:schemaRefs/>
</ds:datastoreItem>
</file>

<file path=customXml/itemProps6.xml><?xml version="1.0" encoding="utf-8"?>
<ds:datastoreItem xmlns:ds="http://schemas.openxmlformats.org/officeDocument/2006/customXml" ds:itemID="{4581DF80-A14C-49E5-BE33-FFF5117255F8}">
  <ds:schemaRefs>
    <ds:schemaRef ds:uri="http://schemas.microsoft.com/DataMashup"/>
  </ds:schemaRefs>
</ds:datastoreItem>
</file>

<file path=customXml/itemProps7.xml><?xml version="1.0" encoding="utf-8"?>
<ds:datastoreItem xmlns:ds="http://schemas.openxmlformats.org/officeDocument/2006/customXml" ds:itemID="{D4ACB4F0-83DF-479B-9451-C3EE9638AF34}">
  <ds:schemaRefs/>
</ds:datastoreItem>
</file>

<file path=customXml/itemProps8.xml><?xml version="1.0" encoding="utf-8"?>
<ds:datastoreItem xmlns:ds="http://schemas.openxmlformats.org/officeDocument/2006/customXml" ds:itemID="{3F1CE728-38F3-4658-A387-01DAF12E07BD}">
  <ds:schemaRefs/>
</ds:datastoreItem>
</file>

<file path=customXml/itemProps9.xml><?xml version="1.0" encoding="utf-8"?>
<ds:datastoreItem xmlns:ds="http://schemas.openxmlformats.org/officeDocument/2006/customXml" ds:itemID="{DE1F760C-71E4-45F3-9BAE-BA878862635C}">
  <ds:schemaRefs/>
</ds:datastoreItem>
</file>

<file path=customXml/itemProps10.xml><?xml version="1.0" encoding="utf-8"?>
<ds:datastoreItem xmlns:ds="http://schemas.openxmlformats.org/officeDocument/2006/customXml" ds:itemID="{DCE08FC9-1B5F-46CC-B3CB-238AEF095DD9}">
  <ds:schemaRefs/>
</ds:datastoreItem>
</file>

<file path=customXml/itemProps11.xml><?xml version="1.0" encoding="utf-8"?>
<ds:datastoreItem xmlns:ds="http://schemas.openxmlformats.org/officeDocument/2006/customXml" ds:itemID="{AECD003B-9F75-4ED7-A8EF-62A85922AD85}">
  <ds:schemaRefs/>
</ds:datastoreItem>
</file>

<file path=customXml/itemProps12.xml><?xml version="1.0" encoding="utf-8"?>
<ds:datastoreItem xmlns:ds="http://schemas.openxmlformats.org/officeDocument/2006/customXml" ds:itemID="{EEF00212-5E61-498E-9348-A1E45A7FB4DC}">
  <ds:schemaRefs/>
</ds:datastoreItem>
</file>

<file path=customXml/itemProps13.xml><?xml version="1.0" encoding="utf-8"?>
<ds:datastoreItem xmlns:ds="http://schemas.openxmlformats.org/officeDocument/2006/customXml" ds:itemID="{26C8A029-23B2-4229-A691-C2F955290F5D}">
  <ds:schemaRefs/>
</ds:datastoreItem>
</file>

<file path=customXml/itemProps14.xml><?xml version="1.0" encoding="utf-8"?>
<ds:datastoreItem xmlns:ds="http://schemas.openxmlformats.org/officeDocument/2006/customXml" ds:itemID="{A1FE046D-8F56-44E5-AFC8-6E7AA36DF7DB}">
  <ds:schemaRefs/>
</ds:datastoreItem>
</file>

<file path=customXml/itemProps15.xml><?xml version="1.0" encoding="utf-8"?>
<ds:datastoreItem xmlns:ds="http://schemas.openxmlformats.org/officeDocument/2006/customXml" ds:itemID="{193537FB-323D-422F-B977-49911B5DD2F3}">
  <ds:schemaRefs/>
</ds:datastoreItem>
</file>

<file path=customXml/itemProps16.xml><?xml version="1.0" encoding="utf-8"?>
<ds:datastoreItem xmlns:ds="http://schemas.openxmlformats.org/officeDocument/2006/customXml" ds:itemID="{9F7651D6-916D-4C85-9B84-DBC8879F2016}">
  <ds:schemaRefs/>
</ds:datastoreItem>
</file>

<file path=customXml/itemProps17.xml><?xml version="1.0" encoding="utf-8"?>
<ds:datastoreItem xmlns:ds="http://schemas.openxmlformats.org/officeDocument/2006/customXml" ds:itemID="{1F9B56AD-6712-4FCE-B969-295C0D5CBC84}">
  <ds:schemaRefs/>
</ds:datastoreItem>
</file>

<file path=customXml/itemProps18.xml><?xml version="1.0" encoding="utf-8"?>
<ds:datastoreItem xmlns:ds="http://schemas.openxmlformats.org/officeDocument/2006/customXml" ds:itemID="{7B9C1151-12F8-41FD-B38B-DFE50C422D2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Pivot Report 1</vt:lpstr>
      <vt:lpstr>Pivot Report 2</vt:lpstr>
      <vt:lpstr>Pivot Report 3</vt:lpstr>
      <vt:lpstr>Pivot Report 4</vt:lpstr>
      <vt:lpstr>Pivot Report 5</vt:lpstr>
      <vt:lpstr>Pivot Report 6</vt:lpstr>
      <vt:lpstr>Daily ER No. of patient</vt:lpstr>
      <vt:lpstr>Avg. wait time daily trend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Rutuja</dc:creator>
  <cp:lastModifiedBy>Rutuja</cp:lastModifiedBy>
  <dcterms:created xsi:type="dcterms:W3CDTF">2026-02-27T06:08:09Z</dcterms:created>
  <dcterms:modified xsi:type="dcterms:W3CDTF">2026-02-28T10:29:43Z</dcterms:modified>
</cp:coreProperties>
</file>